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2F093679-345C-4B41-875C-7C594BDECCA7}" xr6:coauthVersionLast="47" xr6:coauthVersionMax="47" xr10:uidLastSave="{00000000-0000-0000-0000-000000000000}"/>
  <bookViews>
    <workbookView xWindow="-110" yWindow="-110" windowWidth="19420" windowHeight="10300" tabRatio="500" firstSheet="5" activeTab="8" xr2:uid="{00000000-000D-0000-FFFF-FFFF00000000}"/>
  </bookViews>
  <sheets>
    <sheet name="README" sheetId="1" r:id="rId1"/>
    <sheet name="Raw_Data" sheetId="2" r:id="rId2"/>
    <sheet name="Multiplier_Lookup" sheetId="3" r:id="rId3"/>
    <sheet name="Cleaned_Data" sheetId="4" r:id="rId4"/>
    <sheet name="Lookup_Exercises" sheetId="5" r:id="rId5"/>
    <sheet name="Pivot_Summary" sheetId="6" r:id="rId6"/>
    <sheet name="What_If_Analysis" sheetId="7" r:id="rId7"/>
    <sheet name="Dashboard" sheetId="8" r:id="rId8"/>
    <sheet name="VBA_Macro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5" l="1"/>
  <c r="B43" i="8"/>
  <c r="B42" i="8"/>
  <c r="B41" i="8"/>
  <c r="B40" i="8"/>
  <c r="B39" i="8"/>
  <c r="B38" i="8"/>
  <c r="B37" i="8"/>
  <c r="B36" i="8"/>
  <c r="B35" i="8"/>
  <c r="B34" i="8"/>
  <c r="B33" i="8"/>
  <c r="B32" i="8"/>
  <c r="B28" i="8"/>
  <c r="B27" i="8"/>
  <c r="B26" i="8"/>
  <c r="B25" i="8"/>
  <c r="B24" i="8"/>
  <c r="B23" i="8"/>
  <c r="B22" i="8"/>
  <c r="B21" i="8"/>
  <c r="B20" i="8"/>
  <c r="B19" i="8"/>
  <c r="B18" i="8"/>
  <c r="B17" i="8"/>
  <c r="C21" i="5"/>
  <c r="C10" i="5"/>
  <c r="G980" i="4"/>
  <c r="F980" i="4"/>
  <c r="E980" i="4"/>
  <c r="D980" i="4"/>
  <c r="C980" i="4"/>
  <c r="B980" i="4"/>
  <c r="A980" i="4"/>
  <c r="G979" i="4"/>
  <c r="F979" i="4"/>
  <c r="E979" i="4"/>
  <c r="D979" i="4"/>
  <c r="C979" i="4"/>
  <c r="H979" i="4" s="1"/>
  <c r="B979" i="4"/>
  <c r="A979" i="4"/>
  <c r="F978" i="4"/>
  <c r="E978" i="4"/>
  <c r="G978" i="4" s="1"/>
  <c r="D978" i="4"/>
  <c r="C978" i="4"/>
  <c r="B978" i="4"/>
  <c r="A978" i="4"/>
  <c r="G977" i="4"/>
  <c r="F977" i="4"/>
  <c r="E977" i="4"/>
  <c r="D977" i="4"/>
  <c r="C977" i="4"/>
  <c r="B977" i="4"/>
  <c r="A977" i="4"/>
  <c r="H977" i="4" s="1"/>
  <c r="H976" i="4"/>
  <c r="F976" i="4"/>
  <c r="E976" i="4"/>
  <c r="G976" i="4" s="1"/>
  <c r="D976" i="4"/>
  <c r="C976" i="4"/>
  <c r="B976" i="4"/>
  <c r="A976" i="4"/>
  <c r="F975" i="4"/>
  <c r="E975" i="4"/>
  <c r="D975" i="4"/>
  <c r="G975" i="4" s="1"/>
  <c r="C975" i="4"/>
  <c r="B975" i="4"/>
  <c r="A975" i="4"/>
  <c r="G974" i="4"/>
  <c r="F974" i="4"/>
  <c r="E974" i="4"/>
  <c r="D974" i="4"/>
  <c r="C974" i="4"/>
  <c r="B974" i="4"/>
  <c r="A974" i="4"/>
  <c r="H974" i="4" s="1"/>
  <c r="F973" i="4"/>
  <c r="E973" i="4"/>
  <c r="G973" i="4" s="1"/>
  <c r="D973" i="4"/>
  <c r="C973" i="4"/>
  <c r="H973" i="4" s="1"/>
  <c r="B973" i="4"/>
  <c r="A973" i="4"/>
  <c r="F972" i="4"/>
  <c r="E972" i="4"/>
  <c r="D972" i="4"/>
  <c r="G972" i="4" s="1"/>
  <c r="C972" i="4"/>
  <c r="B972" i="4"/>
  <c r="A972" i="4"/>
  <c r="H972" i="4" s="1"/>
  <c r="G971" i="4"/>
  <c r="F971" i="4"/>
  <c r="E971" i="4"/>
  <c r="D971" i="4"/>
  <c r="C971" i="4"/>
  <c r="B971" i="4"/>
  <c r="A971" i="4"/>
  <c r="H971" i="4" s="1"/>
  <c r="G970" i="4"/>
  <c r="F970" i="4"/>
  <c r="E970" i="4"/>
  <c r="D970" i="4"/>
  <c r="C970" i="4"/>
  <c r="H970" i="4" s="1"/>
  <c r="B970" i="4"/>
  <c r="A970" i="4"/>
  <c r="H969" i="4"/>
  <c r="F969" i="4"/>
  <c r="E969" i="4"/>
  <c r="D969" i="4"/>
  <c r="G969" i="4" s="1"/>
  <c r="C969" i="4"/>
  <c r="B969" i="4"/>
  <c r="A969" i="4"/>
  <c r="F968" i="4"/>
  <c r="E968" i="4"/>
  <c r="D968" i="4"/>
  <c r="G968" i="4" s="1"/>
  <c r="C968" i="4"/>
  <c r="B968" i="4"/>
  <c r="A968" i="4"/>
  <c r="F967" i="4"/>
  <c r="E967" i="4"/>
  <c r="G967" i="4" s="1"/>
  <c r="D967" i="4"/>
  <c r="C967" i="4"/>
  <c r="B967" i="4"/>
  <c r="A967" i="4"/>
  <c r="H967" i="4" s="1"/>
  <c r="H966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F964" i="4"/>
  <c r="E964" i="4"/>
  <c r="G964" i="4" s="1"/>
  <c r="D964" i="4"/>
  <c r="C964" i="4"/>
  <c r="B964" i="4"/>
  <c r="A964" i="4"/>
  <c r="H964" i="4" s="1"/>
  <c r="G963" i="4"/>
  <c r="F963" i="4"/>
  <c r="E963" i="4"/>
  <c r="D963" i="4"/>
  <c r="C963" i="4"/>
  <c r="B963" i="4"/>
  <c r="A963" i="4"/>
  <c r="H963" i="4" s="1"/>
  <c r="F962" i="4"/>
  <c r="E962" i="4"/>
  <c r="D962" i="4"/>
  <c r="G962" i="4" s="1"/>
  <c r="C962" i="4"/>
  <c r="B962" i="4"/>
  <c r="A962" i="4"/>
  <c r="H962" i="4" s="1"/>
  <c r="F961" i="4"/>
  <c r="E961" i="4"/>
  <c r="G961" i="4" s="1"/>
  <c r="D961" i="4"/>
  <c r="C961" i="4"/>
  <c r="B961" i="4"/>
  <c r="A961" i="4"/>
  <c r="G960" i="4"/>
  <c r="F960" i="4"/>
  <c r="E960" i="4"/>
  <c r="D960" i="4"/>
  <c r="C960" i="4"/>
  <c r="B960" i="4"/>
  <c r="A960" i="4"/>
  <c r="H960" i="4" s="1"/>
  <c r="F959" i="4"/>
  <c r="E959" i="4"/>
  <c r="G959" i="4" s="1"/>
  <c r="D959" i="4"/>
  <c r="C959" i="4"/>
  <c r="B959" i="4"/>
  <c r="A959" i="4"/>
  <c r="H959" i="4" s="1"/>
  <c r="F958" i="4"/>
  <c r="E958" i="4"/>
  <c r="G958" i="4" s="1"/>
  <c r="D958" i="4"/>
  <c r="C958" i="4"/>
  <c r="B958" i="4"/>
  <c r="A958" i="4"/>
  <c r="H957" i="4"/>
  <c r="F957" i="4"/>
  <c r="E957" i="4"/>
  <c r="D957" i="4"/>
  <c r="G957" i="4" s="1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H955" i="4" s="1"/>
  <c r="B955" i="4"/>
  <c r="A955" i="4"/>
  <c r="H954" i="4"/>
  <c r="G954" i="4"/>
  <c r="F954" i="4"/>
  <c r="E954" i="4"/>
  <c r="D954" i="4"/>
  <c r="C954" i="4"/>
  <c r="B954" i="4"/>
  <c r="A954" i="4"/>
  <c r="F953" i="4"/>
  <c r="E953" i="4"/>
  <c r="D953" i="4"/>
  <c r="G953" i="4" s="1"/>
  <c r="C953" i="4"/>
  <c r="B953" i="4"/>
  <c r="A953" i="4"/>
  <c r="H953" i="4" s="1"/>
  <c r="G952" i="4"/>
  <c r="F952" i="4"/>
  <c r="E952" i="4"/>
  <c r="D952" i="4"/>
  <c r="C952" i="4"/>
  <c r="B952" i="4"/>
  <c r="A952" i="4"/>
  <c r="H952" i="4" s="1"/>
  <c r="H951" i="4"/>
  <c r="F951" i="4"/>
  <c r="E951" i="4"/>
  <c r="G951" i="4" s="1"/>
  <c r="D951" i="4"/>
  <c r="C951" i="4"/>
  <c r="B951" i="4"/>
  <c r="A951" i="4"/>
  <c r="F950" i="4"/>
  <c r="E950" i="4"/>
  <c r="D950" i="4"/>
  <c r="G950" i="4" s="1"/>
  <c r="C950" i="4"/>
  <c r="B950" i="4"/>
  <c r="A950" i="4"/>
  <c r="H949" i="4"/>
  <c r="G949" i="4"/>
  <c r="F949" i="4"/>
  <c r="E949" i="4"/>
  <c r="D949" i="4"/>
  <c r="C949" i="4"/>
  <c r="B949" i="4"/>
  <c r="A949" i="4"/>
  <c r="F948" i="4"/>
  <c r="E948" i="4"/>
  <c r="D948" i="4"/>
  <c r="G948" i="4" s="1"/>
  <c r="C948" i="4"/>
  <c r="H948" i="4" s="1"/>
  <c r="B948" i="4"/>
  <c r="A948" i="4"/>
  <c r="F947" i="4"/>
  <c r="E947" i="4"/>
  <c r="D947" i="4"/>
  <c r="G947" i="4" s="1"/>
  <c r="C947" i="4"/>
  <c r="B947" i="4"/>
  <c r="A947" i="4"/>
  <c r="H947" i="4" s="1"/>
  <c r="H946" i="4"/>
  <c r="F946" i="4"/>
  <c r="E946" i="4"/>
  <c r="G946" i="4" s="1"/>
  <c r="D946" i="4"/>
  <c r="C946" i="4"/>
  <c r="B946" i="4"/>
  <c r="A946" i="4"/>
  <c r="F945" i="4"/>
  <c r="E945" i="4"/>
  <c r="D945" i="4"/>
  <c r="G945" i="4" s="1"/>
  <c r="C945" i="4"/>
  <c r="B945" i="4"/>
  <c r="A945" i="4"/>
  <c r="H945" i="4" s="1"/>
  <c r="G944" i="4"/>
  <c r="F944" i="4"/>
  <c r="E944" i="4"/>
  <c r="D944" i="4"/>
  <c r="C944" i="4"/>
  <c r="B944" i="4"/>
  <c r="A944" i="4"/>
  <c r="H944" i="4" s="1"/>
  <c r="H943" i="4"/>
  <c r="F943" i="4"/>
  <c r="E943" i="4"/>
  <c r="G943" i="4" s="1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H941" i="4" s="1"/>
  <c r="F940" i="4"/>
  <c r="E940" i="4"/>
  <c r="G940" i="4" s="1"/>
  <c r="D940" i="4"/>
  <c r="C940" i="4"/>
  <c r="H940" i="4" s="1"/>
  <c r="B940" i="4"/>
  <c r="A940" i="4"/>
  <c r="F939" i="4"/>
  <c r="E939" i="4"/>
  <c r="D939" i="4"/>
  <c r="G939" i="4" s="1"/>
  <c r="C939" i="4"/>
  <c r="B939" i="4"/>
  <c r="A939" i="4"/>
  <c r="H939" i="4" s="1"/>
  <c r="G938" i="4"/>
  <c r="F938" i="4"/>
  <c r="E938" i="4"/>
  <c r="D938" i="4"/>
  <c r="C938" i="4"/>
  <c r="B938" i="4"/>
  <c r="A938" i="4"/>
  <c r="H938" i="4" s="1"/>
  <c r="G937" i="4"/>
  <c r="F937" i="4"/>
  <c r="E937" i="4"/>
  <c r="D937" i="4"/>
  <c r="C937" i="4"/>
  <c r="H937" i="4" s="1"/>
  <c r="B937" i="4"/>
  <c r="A937" i="4"/>
  <c r="F936" i="4"/>
  <c r="E936" i="4"/>
  <c r="D936" i="4"/>
  <c r="C936" i="4"/>
  <c r="B936" i="4"/>
  <c r="A936" i="4"/>
  <c r="H936" i="4" s="1"/>
  <c r="F935" i="4"/>
  <c r="E935" i="4"/>
  <c r="D935" i="4"/>
  <c r="G935" i="4" s="1"/>
  <c r="C935" i="4"/>
  <c r="B935" i="4"/>
  <c r="A935" i="4"/>
  <c r="H935" i="4" s="1"/>
  <c r="H934" i="4"/>
  <c r="F934" i="4"/>
  <c r="E934" i="4"/>
  <c r="G934" i="4" s="1"/>
  <c r="D934" i="4"/>
  <c r="C934" i="4"/>
  <c r="B934" i="4"/>
  <c r="A934" i="4"/>
  <c r="H933" i="4"/>
  <c r="F933" i="4"/>
  <c r="E933" i="4"/>
  <c r="D933" i="4"/>
  <c r="G933" i="4" s="1"/>
  <c r="C933" i="4"/>
  <c r="B933" i="4"/>
  <c r="A933" i="4"/>
  <c r="G932" i="4"/>
  <c r="F932" i="4"/>
  <c r="E932" i="4"/>
  <c r="D932" i="4"/>
  <c r="C932" i="4"/>
  <c r="B932" i="4"/>
  <c r="A932" i="4"/>
  <c r="F931" i="4"/>
  <c r="E931" i="4"/>
  <c r="G931" i="4" s="1"/>
  <c r="D931" i="4"/>
  <c r="C931" i="4"/>
  <c r="B931" i="4"/>
  <c r="A931" i="4"/>
  <c r="H931" i="4" s="1"/>
  <c r="G930" i="4"/>
  <c r="F930" i="4"/>
  <c r="E930" i="4"/>
  <c r="D930" i="4"/>
  <c r="C930" i="4"/>
  <c r="B930" i="4"/>
  <c r="A930" i="4"/>
  <c r="H930" i="4" s="1"/>
  <c r="F929" i="4"/>
  <c r="E929" i="4"/>
  <c r="D929" i="4"/>
  <c r="G929" i="4" s="1"/>
  <c r="C929" i="4"/>
  <c r="B929" i="4"/>
  <c r="A929" i="4"/>
  <c r="F928" i="4"/>
  <c r="E928" i="4"/>
  <c r="G928" i="4" s="1"/>
  <c r="D928" i="4"/>
  <c r="C928" i="4"/>
  <c r="B928" i="4"/>
  <c r="A928" i="4"/>
  <c r="G927" i="4"/>
  <c r="F927" i="4"/>
  <c r="E927" i="4"/>
  <c r="D927" i="4"/>
  <c r="C927" i="4"/>
  <c r="B927" i="4"/>
  <c r="A927" i="4"/>
  <c r="H927" i="4" s="1"/>
  <c r="F926" i="4"/>
  <c r="E926" i="4"/>
  <c r="G926" i="4" s="1"/>
  <c r="D926" i="4"/>
  <c r="C926" i="4"/>
  <c r="B926" i="4"/>
  <c r="A926" i="4"/>
  <c r="H926" i="4" s="1"/>
  <c r="F925" i="4"/>
  <c r="E925" i="4"/>
  <c r="G925" i="4" s="1"/>
  <c r="D925" i="4"/>
  <c r="C925" i="4"/>
  <c r="B925" i="4"/>
  <c r="A925" i="4"/>
  <c r="H924" i="4"/>
  <c r="G924" i="4"/>
  <c r="F924" i="4"/>
  <c r="E924" i="4"/>
  <c r="D924" i="4"/>
  <c r="C924" i="4"/>
  <c r="B924" i="4"/>
  <c r="A924" i="4"/>
  <c r="F923" i="4"/>
  <c r="E923" i="4"/>
  <c r="G923" i="4" s="1"/>
  <c r="D923" i="4"/>
  <c r="C923" i="4"/>
  <c r="B923" i="4"/>
  <c r="A923" i="4"/>
  <c r="F922" i="4"/>
  <c r="E922" i="4"/>
  <c r="G922" i="4" s="1"/>
  <c r="D922" i="4"/>
  <c r="C922" i="4"/>
  <c r="B922" i="4"/>
  <c r="A922" i="4"/>
  <c r="H922" i="4" s="1"/>
  <c r="H921" i="4"/>
  <c r="F921" i="4"/>
  <c r="E921" i="4"/>
  <c r="G921" i="4" s="1"/>
  <c r="D921" i="4"/>
  <c r="C921" i="4"/>
  <c r="B921" i="4"/>
  <c r="A921" i="4"/>
  <c r="F920" i="4"/>
  <c r="E920" i="4"/>
  <c r="D920" i="4"/>
  <c r="G920" i="4" s="1"/>
  <c r="C920" i="4"/>
  <c r="B920" i="4"/>
  <c r="A920" i="4"/>
  <c r="G919" i="4"/>
  <c r="F919" i="4"/>
  <c r="E919" i="4"/>
  <c r="D919" i="4"/>
  <c r="C919" i="4"/>
  <c r="B919" i="4"/>
  <c r="A919" i="4"/>
  <c r="H919" i="4" s="1"/>
  <c r="H918" i="4"/>
  <c r="G918" i="4"/>
  <c r="F918" i="4"/>
  <c r="E918" i="4"/>
  <c r="D918" i="4"/>
  <c r="C918" i="4"/>
  <c r="B918" i="4"/>
  <c r="A918" i="4"/>
  <c r="F917" i="4"/>
  <c r="E917" i="4"/>
  <c r="D917" i="4"/>
  <c r="G917" i="4" s="1"/>
  <c r="C917" i="4"/>
  <c r="B917" i="4"/>
  <c r="A917" i="4"/>
  <c r="H917" i="4" s="1"/>
  <c r="G916" i="4"/>
  <c r="F916" i="4"/>
  <c r="E916" i="4"/>
  <c r="D916" i="4"/>
  <c r="C916" i="4"/>
  <c r="B916" i="4"/>
  <c r="A916" i="4"/>
  <c r="H916" i="4" s="1"/>
  <c r="G915" i="4"/>
  <c r="F915" i="4"/>
  <c r="E915" i="4"/>
  <c r="D915" i="4"/>
  <c r="C915" i="4"/>
  <c r="H915" i="4" s="1"/>
  <c r="B915" i="4"/>
  <c r="A915" i="4"/>
  <c r="F914" i="4"/>
  <c r="E914" i="4"/>
  <c r="D914" i="4"/>
  <c r="G914" i="4" s="1"/>
  <c r="C914" i="4"/>
  <c r="B914" i="4"/>
  <c r="A914" i="4"/>
  <c r="H914" i="4" s="1"/>
  <c r="H913" i="4"/>
  <c r="F913" i="4"/>
  <c r="E913" i="4"/>
  <c r="G913" i="4" s="1"/>
  <c r="D913" i="4"/>
  <c r="C913" i="4"/>
  <c r="B913" i="4"/>
  <c r="A913" i="4"/>
  <c r="F912" i="4"/>
  <c r="E912" i="4"/>
  <c r="D912" i="4"/>
  <c r="G912" i="4" s="1"/>
  <c r="C912" i="4"/>
  <c r="B912" i="4"/>
  <c r="A912" i="4"/>
  <c r="F911" i="4"/>
  <c r="E911" i="4"/>
  <c r="D911" i="4"/>
  <c r="G911" i="4" s="1"/>
  <c r="C911" i="4"/>
  <c r="B911" i="4"/>
  <c r="A911" i="4"/>
  <c r="H910" i="4"/>
  <c r="F910" i="4"/>
  <c r="E910" i="4"/>
  <c r="G910" i="4" s="1"/>
  <c r="D910" i="4"/>
  <c r="C910" i="4"/>
  <c r="B910" i="4"/>
  <c r="A910" i="4"/>
  <c r="G909" i="4"/>
  <c r="F909" i="4"/>
  <c r="E909" i="4"/>
  <c r="D909" i="4"/>
  <c r="C909" i="4"/>
  <c r="B909" i="4"/>
  <c r="A909" i="4"/>
  <c r="H909" i="4" s="1"/>
  <c r="G908" i="4"/>
  <c r="F908" i="4"/>
  <c r="E908" i="4"/>
  <c r="D908" i="4"/>
  <c r="C908" i="4"/>
  <c r="B908" i="4"/>
  <c r="A908" i="4"/>
  <c r="H908" i="4" s="1"/>
  <c r="H907" i="4"/>
  <c r="F907" i="4"/>
  <c r="E907" i="4"/>
  <c r="G907" i="4" s="1"/>
  <c r="D907" i="4"/>
  <c r="C907" i="4"/>
  <c r="B907" i="4"/>
  <c r="A907" i="4"/>
  <c r="F906" i="4"/>
  <c r="E906" i="4"/>
  <c r="D906" i="4"/>
  <c r="G906" i="4" s="1"/>
  <c r="C906" i="4"/>
  <c r="B906" i="4"/>
  <c r="A906" i="4"/>
  <c r="H906" i="4" s="1"/>
  <c r="G905" i="4"/>
  <c r="F905" i="4"/>
  <c r="E905" i="4"/>
  <c r="D905" i="4"/>
  <c r="C905" i="4"/>
  <c r="B905" i="4"/>
  <c r="A905" i="4"/>
  <c r="H905" i="4" s="1"/>
  <c r="G904" i="4"/>
  <c r="F904" i="4"/>
  <c r="E904" i="4"/>
  <c r="D904" i="4"/>
  <c r="C904" i="4"/>
  <c r="H904" i="4" s="1"/>
  <c r="B904" i="4"/>
  <c r="A904" i="4"/>
  <c r="F903" i="4"/>
  <c r="E903" i="4"/>
  <c r="D903" i="4"/>
  <c r="C903" i="4"/>
  <c r="B903" i="4"/>
  <c r="A903" i="4"/>
  <c r="H903" i="4" s="1"/>
  <c r="F902" i="4"/>
  <c r="E902" i="4"/>
  <c r="G902" i="4" s="1"/>
  <c r="D902" i="4"/>
  <c r="C902" i="4"/>
  <c r="B902" i="4"/>
  <c r="A902" i="4"/>
  <c r="H902" i="4" s="1"/>
  <c r="H901" i="4"/>
  <c r="F901" i="4"/>
  <c r="E901" i="4"/>
  <c r="G901" i="4" s="1"/>
  <c r="D901" i="4"/>
  <c r="C901" i="4"/>
  <c r="B901" i="4"/>
  <c r="A901" i="4"/>
  <c r="F900" i="4"/>
  <c r="E900" i="4"/>
  <c r="D900" i="4"/>
  <c r="C900" i="4"/>
  <c r="B900" i="4"/>
  <c r="A900" i="4"/>
  <c r="F899" i="4"/>
  <c r="E899" i="4"/>
  <c r="G899" i="4" s="1"/>
  <c r="D899" i="4"/>
  <c r="C899" i="4"/>
  <c r="B899" i="4"/>
  <c r="A899" i="4"/>
  <c r="H899" i="4" s="1"/>
  <c r="F898" i="4"/>
  <c r="E898" i="4"/>
  <c r="G898" i="4" s="1"/>
  <c r="D898" i="4"/>
  <c r="C898" i="4"/>
  <c r="B898" i="4"/>
  <c r="A898" i="4"/>
  <c r="H898" i="4" s="1"/>
  <c r="F897" i="4"/>
  <c r="E897" i="4"/>
  <c r="D897" i="4"/>
  <c r="G897" i="4" s="1"/>
  <c r="C897" i="4"/>
  <c r="B897" i="4"/>
  <c r="A897" i="4"/>
  <c r="F896" i="4"/>
  <c r="E896" i="4"/>
  <c r="D896" i="4"/>
  <c r="G896" i="4" s="1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H894" i="4" s="1"/>
  <c r="F893" i="4"/>
  <c r="E893" i="4"/>
  <c r="G893" i="4" s="1"/>
  <c r="D893" i="4"/>
  <c r="C893" i="4"/>
  <c r="B893" i="4"/>
  <c r="A893" i="4"/>
  <c r="F892" i="4"/>
  <c r="E892" i="4"/>
  <c r="G892" i="4" s="1"/>
  <c r="D892" i="4"/>
  <c r="C892" i="4"/>
  <c r="B892" i="4"/>
  <c r="A892" i="4"/>
  <c r="H891" i="4"/>
  <c r="G891" i="4"/>
  <c r="F891" i="4"/>
  <c r="E891" i="4"/>
  <c r="D891" i="4"/>
  <c r="C891" i="4"/>
  <c r="B891" i="4"/>
  <c r="A891" i="4"/>
  <c r="F890" i="4"/>
  <c r="E890" i="4"/>
  <c r="G890" i="4" s="1"/>
  <c r="D890" i="4"/>
  <c r="C890" i="4"/>
  <c r="B890" i="4"/>
  <c r="A890" i="4"/>
  <c r="F889" i="4"/>
  <c r="E889" i="4"/>
  <c r="D889" i="4"/>
  <c r="G889" i="4" s="1"/>
  <c r="C889" i="4"/>
  <c r="B889" i="4"/>
  <c r="A889" i="4"/>
  <c r="H889" i="4" s="1"/>
  <c r="H888" i="4"/>
  <c r="G888" i="4"/>
  <c r="F888" i="4"/>
  <c r="E888" i="4"/>
  <c r="D888" i="4"/>
  <c r="C888" i="4"/>
  <c r="B888" i="4"/>
  <c r="A888" i="4"/>
  <c r="F887" i="4"/>
  <c r="E887" i="4"/>
  <c r="D887" i="4"/>
  <c r="G887" i="4" s="1"/>
  <c r="C887" i="4"/>
  <c r="B887" i="4"/>
  <c r="A887" i="4"/>
  <c r="H887" i="4" s="1"/>
  <c r="F886" i="4"/>
  <c r="E886" i="4"/>
  <c r="D886" i="4"/>
  <c r="G886" i="4" s="1"/>
  <c r="C886" i="4"/>
  <c r="B886" i="4"/>
  <c r="A886" i="4"/>
  <c r="H885" i="4"/>
  <c r="F885" i="4"/>
  <c r="E885" i="4"/>
  <c r="G885" i="4" s="1"/>
  <c r="D885" i="4"/>
  <c r="C885" i="4"/>
  <c r="B885" i="4"/>
  <c r="A885" i="4"/>
  <c r="G884" i="4"/>
  <c r="F884" i="4"/>
  <c r="E884" i="4"/>
  <c r="D884" i="4"/>
  <c r="C884" i="4"/>
  <c r="B884" i="4"/>
  <c r="A884" i="4"/>
  <c r="H884" i="4" s="1"/>
  <c r="F883" i="4"/>
  <c r="E883" i="4"/>
  <c r="D883" i="4"/>
  <c r="G883" i="4" s="1"/>
  <c r="C883" i="4"/>
  <c r="B883" i="4"/>
  <c r="A883" i="4"/>
  <c r="H883" i="4" s="1"/>
  <c r="F882" i="4"/>
  <c r="E882" i="4"/>
  <c r="G882" i="4" s="1"/>
  <c r="D882" i="4"/>
  <c r="C882" i="4"/>
  <c r="B882" i="4"/>
  <c r="A882" i="4"/>
  <c r="H882" i="4" s="1"/>
  <c r="H881" i="4"/>
  <c r="F881" i="4"/>
  <c r="E881" i="4"/>
  <c r="D881" i="4"/>
  <c r="C881" i="4"/>
  <c r="B881" i="4"/>
  <c r="A881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H879" i="4" s="1"/>
  <c r="G878" i="4"/>
  <c r="F878" i="4"/>
  <c r="E878" i="4"/>
  <c r="D878" i="4"/>
  <c r="C878" i="4"/>
  <c r="B878" i="4"/>
  <c r="A878" i="4"/>
  <c r="H878" i="4" s="1"/>
  <c r="F877" i="4"/>
  <c r="E877" i="4"/>
  <c r="D877" i="4"/>
  <c r="C877" i="4"/>
  <c r="B877" i="4"/>
  <c r="A877" i="4"/>
  <c r="H877" i="4" s="1"/>
  <c r="H876" i="4"/>
  <c r="F876" i="4"/>
  <c r="E876" i="4"/>
  <c r="G876" i="4" s="1"/>
  <c r="D876" i="4"/>
  <c r="C876" i="4"/>
  <c r="B876" i="4"/>
  <c r="A876" i="4"/>
  <c r="F875" i="4"/>
  <c r="E875" i="4"/>
  <c r="D875" i="4"/>
  <c r="C875" i="4"/>
  <c r="B875" i="4"/>
  <c r="A875" i="4"/>
  <c r="H875" i="4" s="1"/>
  <c r="F874" i="4"/>
  <c r="E874" i="4"/>
  <c r="D874" i="4"/>
  <c r="G874" i="4" s="1"/>
  <c r="C874" i="4"/>
  <c r="B874" i="4"/>
  <c r="A874" i="4"/>
  <c r="G873" i="4"/>
  <c r="F873" i="4"/>
  <c r="E873" i="4"/>
  <c r="D873" i="4"/>
  <c r="C873" i="4"/>
  <c r="B873" i="4"/>
  <c r="A873" i="4"/>
  <c r="H873" i="4" s="1"/>
  <c r="G872" i="4"/>
  <c r="F872" i="4"/>
  <c r="E872" i="4"/>
  <c r="D872" i="4"/>
  <c r="C872" i="4"/>
  <c r="H872" i="4" s="1"/>
  <c r="B872" i="4"/>
  <c r="A872" i="4"/>
  <c r="F871" i="4"/>
  <c r="E871" i="4"/>
  <c r="D871" i="4"/>
  <c r="G871" i="4" s="1"/>
  <c r="C871" i="4"/>
  <c r="B871" i="4"/>
  <c r="A871" i="4"/>
  <c r="H871" i="4" s="1"/>
  <c r="H870" i="4"/>
  <c r="G870" i="4"/>
  <c r="F870" i="4"/>
  <c r="E870" i="4"/>
  <c r="D870" i="4"/>
  <c r="C870" i="4"/>
  <c r="B870" i="4"/>
  <c r="A870" i="4"/>
  <c r="F869" i="4"/>
  <c r="E869" i="4"/>
  <c r="D869" i="4"/>
  <c r="G869" i="4" s="1"/>
  <c r="C869" i="4"/>
  <c r="H869" i="4" s="1"/>
  <c r="B869" i="4"/>
  <c r="A869" i="4"/>
  <c r="F868" i="4"/>
  <c r="E868" i="4"/>
  <c r="D868" i="4"/>
  <c r="G868" i="4" s="1"/>
  <c r="C868" i="4"/>
  <c r="B868" i="4"/>
  <c r="A868" i="4"/>
  <c r="H867" i="4"/>
  <c r="F867" i="4"/>
  <c r="E867" i="4"/>
  <c r="G867" i="4" s="1"/>
  <c r="D867" i="4"/>
  <c r="C867" i="4"/>
  <c r="B867" i="4"/>
  <c r="A867" i="4"/>
  <c r="G866" i="4"/>
  <c r="F866" i="4"/>
  <c r="E866" i="4"/>
  <c r="D866" i="4"/>
  <c r="C866" i="4"/>
  <c r="B866" i="4"/>
  <c r="A866" i="4"/>
  <c r="H866" i="4" s="1"/>
  <c r="F865" i="4"/>
  <c r="E865" i="4"/>
  <c r="D865" i="4"/>
  <c r="G865" i="4" s="1"/>
  <c r="C865" i="4"/>
  <c r="B865" i="4"/>
  <c r="A865" i="4"/>
  <c r="H865" i="4" s="1"/>
  <c r="F864" i="4"/>
  <c r="E864" i="4"/>
  <c r="G864" i="4" s="1"/>
  <c r="D864" i="4"/>
  <c r="C864" i="4"/>
  <c r="B864" i="4"/>
  <c r="A864" i="4"/>
  <c r="H864" i="4" s="1"/>
  <c r="F863" i="4"/>
  <c r="E863" i="4"/>
  <c r="D863" i="4"/>
  <c r="G863" i="4" s="1"/>
  <c r="C863" i="4"/>
  <c r="B863" i="4"/>
  <c r="A863" i="4"/>
  <c r="H863" i="4" s="1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H861" i="4" s="1"/>
  <c r="G860" i="4"/>
  <c r="F860" i="4"/>
  <c r="E860" i="4"/>
  <c r="D860" i="4"/>
  <c r="C860" i="4"/>
  <c r="B860" i="4"/>
  <c r="A860" i="4"/>
  <c r="F859" i="4"/>
  <c r="E859" i="4"/>
  <c r="D859" i="4"/>
  <c r="G859" i="4" s="1"/>
  <c r="C859" i="4"/>
  <c r="B859" i="4"/>
  <c r="A859" i="4"/>
  <c r="H858" i="4"/>
  <c r="F858" i="4"/>
  <c r="E858" i="4"/>
  <c r="G858" i="4" s="1"/>
  <c r="D858" i="4"/>
  <c r="C858" i="4"/>
  <c r="B858" i="4"/>
  <c r="A858" i="4"/>
  <c r="H857" i="4"/>
  <c r="G857" i="4"/>
  <c r="F857" i="4"/>
  <c r="E857" i="4"/>
  <c r="D857" i="4"/>
  <c r="C857" i="4"/>
  <c r="B857" i="4"/>
  <c r="A857" i="4"/>
  <c r="F856" i="4"/>
  <c r="E856" i="4"/>
  <c r="D856" i="4"/>
  <c r="G856" i="4" s="1"/>
  <c r="C856" i="4"/>
  <c r="B856" i="4"/>
  <c r="A856" i="4"/>
  <c r="H856" i="4" s="1"/>
  <c r="G855" i="4"/>
  <c r="F855" i="4"/>
  <c r="E855" i="4"/>
  <c r="D855" i="4"/>
  <c r="C855" i="4"/>
  <c r="B855" i="4"/>
  <c r="A855" i="4"/>
  <c r="H855" i="4" s="1"/>
  <c r="F854" i="4"/>
  <c r="E854" i="4"/>
  <c r="G854" i="4" s="1"/>
  <c r="D854" i="4"/>
  <c r="C854" i="4"/>
  <c r="H854" i="4" s="1"/>
  <c r="B854" i="4"/>
  <c r="A854" i="4"/>
  <c r="F853" i="4"/>
  <c r="E853" i="4"/>
  <c r="D853" i="4"/>
  <c r="G853" i="4" s="1"/>
  <c r="C853" i="4"/>
  <c r="B853" i="4"/>
  <c r="A853" i="4"/>
  <c r="H853" i="4" s="1"/>
  <c r="F852" i="4"/>
  <c r="E852" i="4"/>
  <c r="G852" i="4" s="1"/>
  <c r="D852" i="4"/>
  <c r="C852" i="4"/>
  <c r="B852" i="4"/>
  <c r="A852" i="4"/>
  <c r="H852" i="4" s="1"/>
  <c r="F851" i="4"/>
  <c r="E851" i="4"/>
  <c r="D851" i="4"/>
  <c r="G851" i="4" s="1"/>
  <c r="C851" i="4"/>
  <c r="B851" i="4"/>
  <c r="A851" i="4"/>
  <c r="H851" i="4" s="1"/>
  <c r="F850" i="4"/>
  <c r="E850" i="4"/>
  <c r="D850" i="4"/>
  <c r="G850" i="4" s="1"/>
  <c r="C850" i="4"/>
  <c r="B850" i="4"/>
  <c r="A850" i="4"/>
  <c r="H849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F847" i="4"/>
  <c r="E847" i="4"/>
  <c r="D847" i="4"/>
  <c r="G847" i="4" s="1"/>
  <c r="C847" i="4"/>
  <c r="B847" i="4"/>
  <c r="A847" i="4"/>
  <c r="H847" i="4" s="1"/>
  <c r="H846" i="4"/>
  <c r="F846" i="4"/>
  <c r="E846" i="4"/>
  <c r="G846" i="4" s="1"/>
  <c r="D846" i="4"/>
  <c r="C846" i="4"/>
  <c r="B846" i="4"/>
  <c r="A846" i="4"/>
  <c r="H845" i="4"/>
  <c r="F845" i="4"/>
  <c r="E845" i="4"/>
  <c r="D845" i="4"/>
  <c r="C845" i="4"/>
  <c r="B845" i="4"/>
  <c r="A845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H843" i="4" s="1"/>
  <c r="G842" i="4"/>
  <c r="F842" i="4"/>
  <c r="E842" i="4"/>
  <c r="D842" i="4"/>
  <c r="C842" i="4"/>
  <c r="B842" i="4"/>
  <c r="A842" i="4"/>
  <c r="H842" i="4" s="1"/>
  <c r="F841" i="4"/>
  <c r="E841" i="4"/>
  <c r="D841" i="4"/>
  <c r="G841" i="4" s="1"/>
  <c r="C841" i="4"/>
  <c r="B841" i="4"/>
  <c r="A841" i="4"/>
  <c r="F840" i="4"/>
  <c r="E840" i="4"/>
  <c r="G840" i="4" s="1"/>
  <c r="D840" i="4"/>
  <c r="C840" i="4"/>
  <c r="B840" i="4"/>
  <c r="A840" i="4"/>
  <c r="H840" i="4" s="1"/>
  <c r="H839" i="4"/>
  <c r="G839" i="4"/>
  <c r="F839" i="4"/>
  <c r="E839" i="4"/>
  <c r="D839" i="4"/>
  <c r="C839" i="4"/>
  <c r="B839" i="4"/>
  <c r="A839" i="4"/>
  <c r="F838" i="4"/>
  <c r="E838" i="4"/>
  <c r="D838" i="4"/>
  <c r="G838" i="4" s="1"/>
  <c r="C838" i="4"/>
  <c r="B838" i="4"/>
  <c r="A838" i="4"/>
  <c r="H838" i="4" s="1"/>
  <c r="G837" i="4"/>
  <c r="F837" i="4"/>
  <c r="E837" i="4"/>
  <c r="D837" i="4"/>
  <c r="C837" i="4"/>
  <c r="B837" i="4"/>
  <c r="A837" i="4"/>
  <c r="H837" i="4" s="1"/>
  <c r="F836" i="4"/>
  <c r="E836" i="4"/>
  <c r="G836" i="4" s="1"/>
  <c r="D836" i="4"/>
  <c r="C836" i="4"/>
  <c r="H836" i="4" s="1"/>
  <c r="B836" i="4"/>
  <c r="A836" i="4"/>
  <c r="F835" i="4"/>
  <c r="E835" i="4"/>
  <c r="D835" i="4"/>
  <c r="G835" i="4" s="1"/>
  <c r="C835" i="4"/>
  <c r="B835" i="4"/>
  <c r="A835" i="4"/>
  <c r="H835" i="4" s="1"/>
  <c r="H834" i="4"/>
  <c r="F834" i="4"/>
  <c r="E834" i="4"/>
  <c r="G834" i="4" s="1"/>
  <c r="D834" i="4"/>
  <c r="C834" i="4"/>
  <c r="B834" i="4"/>
  <c r="A834" i="4"/>
  <c r="F833" i="4"/>
  <c r="E833" i="4"/>
  <c r="D833" i="4"/>
  <c r="G833" i="4" s="1"/>
  <c r="C833" i="4"/>
  <c r="B833" i="4"/>
  <c r="A833" i="4"/>
  <c r="H833" i="4" s="1"/>
  <c r="F832" i="4"/>
  <c r="E832" i="4"/>
  <c r="D832" i="4"/>
  <c r="G832" i="4" s="1"/>
  <c r="C832" i="4"/>
  <c r="B832" i="4"/>
  <c r="A832" i="4"/>
  <c r="H831" i="4"/>
  <c r="F831" i="4"/>
  <c r="E831" i="4"/>
  <c r="G831" i="4" s="1"/>
  <c r="D831" i="4"/>
  <c r="C831" i="4"/>
  <c r="B831" i="4"/>
  <c r="A831" i="4"/>
  <c r="G830" i="4"/>
  <c r="F830" i="4"/>
  <c r="E830" i="4"/>
  <c r="D830" i="4"/>
  <c r="C830" i="4"/>
  <c r="B830" i="4"/>
  <c r="A830" i="4"/>
  <c r="H830" i="4" s="1"/>
  <c r="F829" i="4"/>
  <c r="E829" i="4"/>
  <c r="D829" i="4"/>
  <c r="G829" i="4" s="1"/>
  <c r="C829" i="4"/>
  <c r="B829" i="4"/>
  <c r="A829" i="4"/>
  <c r="H829" i="4" s="1"/>
  <c r="F828" i="4"/>
  <c r="E828" i="4"/>
  <c r="G828" i="4" s="1"/>
  <c r="D828" i="4"/>
  <c r="C828" i="4"/>
  <c r="B828" i="4"/>
  <c r="A828" i="4"/>
  <c r="H828" i="4" s="1"/>
  <c r="H827" i="4"/>
  <c r="F827" i="4"/>
  <c r="E827" i="4"/>
  <c r="D827" i="4"/>
  <c r="G827" i="4" s="1"/>
  <c r="C827" i="4"/>
  <c r="B827" i="4"/>
  <c r="A827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H825" i="4" s="1"/>
  <c r="G824" i="4"/>
  <c r="F824" i="4"/>
  <c r="E824" i="4"/>
  <c r="D824" i="4"/>
  <c r="C824" i="4"/>
  <c r="B824" i="4"/>
  <c r="A824" i="4"/>
  <c r="H824" i="4" s="1"/>
  <c r="F823" i="4"/>
  <c r="E823" i="4"/>
  <c r="D823" i="4"/>
  <c r="C823" i="4"/>
  <c r="B823" i="4"/>
  <c r="A823" i="4"/>
  <c r="F822" i="4"/>
  <c r="E822" i="4"/>
  <c r="G822" i="4" s="1"/>
  <c r="D822" i="4"/>
  <c r="C822" i="4"/>
  <c r="B822" i="4"/>
  <c r="A822" i="4"/>
  <c r="H822" i="4" s="1"/>
  <c r="H821" i="4"/>
  <c r="G821" i="4"/>
  <c r="F821" i="4"/>
  <c r="E821" i="4"/>
  <c r="D821" i="4"/>
  <c r="C821" i="4"/>
  <c r="B821" i="4"/>
  <c r="A821" i="4"/>
  <c r="F820" i="4"/>
  <c r="E820" i="4"/>
  <c r="D820" i="4"/>
  <c r="G820" i="4" s="1"/>
  <c r="C820" i="4"/>
  <c r="B820" i="4"/>
  <c r="A820" i="4"/>
  <c r="G819" i="4"/>
  <c r="F819" i="4"/>
  <c r="E819" i="4"/>
  <c r="D819" i="4"/>
  <c r="C819" i="4"/>
  <c r="B819" i="4"/>
  <c r="A819" i="4"/>
  <c r="H819" i="4" s="1"/>
  <c r="F818" i="4"/>
  <c r="E818" i="4"/>
  <c r="G818" i="4" s="1"/>
  <c r="D818" i="4"/>
  <c r="C818" i="4"/>
  <c r="H818" i="4" s="1"/>
  <c r="B818" i="4"/>
  <c r="A818" i="4"/>
  <c r="F817" i="4"/>
  <c r="E817" i="4"/>
  <c r="D817" i="4"/>
  <c r="G817" i="4" s="1"/>
  <c r="C817" i="4"/>
  <c r="B817" i="4"/>
  <c r="A817" i="4"/>
  <c r="H817" i="4" s="1"/>
  <c r="H816" i="4"/>
  <c r="G816" i="4"/>
  <c r="F816" i="4"/>
  <c r="E816" i="4"/>
  <c r="D816" i="4"/>
  <c r="C816" i="4"/>
  <c r="B816" i="4"/>
  <c r="A816" i="4"/>
  <c r="H815" i="4"/>
  <c r="F815" i="4"/>
  <c r="E815" i="4"/>
  <c r="D815" i="4"/>
  <c r="G815" i="4" s="1"/>
  <c r="C815" i="4"/>
  <c r="B815" i="4"/>
  <c r="A815" i="4"/>
  <c r="G814" i="4"/>
  <c r="F814" i="4"/>
  <c r="E814" i="4"/>
  <c r="D814" i="4"/>
  <c r="C814" i="4"/>
  <c r="B814" i="4"/>
  <c r="A814" i="4"/>
  <c r="H813" i="4"/>
  <c r="F813" i="4"/>
  <c r="E813" i="4"/>
  <c r="D813" i="4"/>
  <c r="G813" i="4" s="1"/>
  <c r="C813" i="4"/>
  <c r="B813" i="4"/>
  <c r="A813" i="4"/>
  <c r="F812" i="4"/>
  <c r="E812" i="4"/>
  <c r="D812" i="4"/>
  <c r="G812" i="4" s="1"/>
  <c r="C812" i="4"/>
  <c r="H812" i="4" s="1"/>
  <c r="B812" i="4"/>
  <c r="A812" i="4"/>
  <c r="H811" i="4"/>
  <c r="G811" i="4"/>
  <c r="F811" i="4"/>
  <c r="E811" i="4"/>
  <c r="D811" i="4"/>
  <c r="C811" i="4"/>
  <c r="B811" i="4"/>
  <c r="A811" i="4"/>
  <c r="H810" i="4"/>
  <c r="G810" i="4"/>
  <c r="F810" i="4"/>
  <c r="E810" i="4"/>
  <c r="D810" i="4"/>
  <c r="C810" i="4"/>
  <c r="B810" i="4"/>
  <c r="A810" i="4"/>
  <c r="F809" i="4"/>
  <c r="E809" i="4"/>
  <c r="D809" i="4"/>
  <c r="G809" i="4" s="1"/>
  <c r="C809" i="4"/>
  <c r="H809" i="4" s="1"/>
  <c r="B809" i="4"/>
  <c r="A809" i="4"/>
  <c r="H808" i="4"/>
  <c r="G808" i="4"/>
  <c r="F808" i="4"/>
  <c r="E808" i="4"/>
  <c r="D808" i="4"/>
  <c r="C808" i="4"/>
  <c r="B808" i="4"/>
  <c r="A808" i="4"/>
  <c r="H807" i="4"/>
  <c r="G807" i="4"/>
  <c r="F807" i="4"/>
  <c r="E807" i="4"/>
  <c r="D807" i="4"/>
  <c r="C807" i="4"/>
  <c r="B807" i="4"/>
  <c r="A807" i="4"/>
  <c r="F806" i="4"/>
  <c r="E806" i="4"/>
  <c r="D806" i="4"/>
  <c r="G806" i="4" s="1"/>
  <c r="C806" i="4"/>
  <c r="H806" i="4" s="1"/>
  <c r="B806" i="4"/>
  <c r="A806" i="4"/>
  <c r="H805" i="4"/>
  <c r="G805" i="4"/>
  <c r="F805" i="4"/>
  <c r="E805" i="4"/>
  <c r="D805" i="4"/>
  <c r="C805" i="4"/>
  <c r="B805" i="4"/>
  <c r="A805" i="4"/>
  <c r="F804" i="4"/>
  <c r="E804" i="4"/>
  <c r="D804" i="4"/>
  <c r="G804" i="4" s="1"/>
  <c r="C804" i="4"/>
  <c r="H804" i="4" s="1"/>
  <c r="B804" i="4"/>
  <c r="A804" i="4"/>
  <c r="F803" i="4"/>
  <c r="E803" i="4"/>
  <c r="D803" i="4"/>
  <c r="G803" i="4" s="1"/>
  <c r="C803" i="4"/>
  <c r="H803" i="4" s="1"/>
  <c r="B803" i="4"/>
  <c r="A803" i="4"/>
  <c r="H802" i="4"/>
  <c r="G802" i="4"/>
  <c r="F802" i="4"/>
  <c r="E802" i="4"/>
  <c r="D802" i="4"/>
  <c r="C802" i="4"/>
  <c r="B802" i="4"/>
  <c r="A802" i="4"/>
  <c r="F801" i="4"/>
  <c r="E801" i="4"/>
  <c r="D801" i="4"/>
  <c r="G801" i="4" s="1"/>
  <c r="C801" i="4"/>
  <c r="H801" i="4" s="1"/>
  <c r="B801" i="4"/>
  <c r="A801" i="4"/>
  <c r="G800" i="4"/>
  <c r="F800" i="4"/>
  <c r="E800" i="4"/>
  <c r="D800" i="4"/>
  <c r="C800" i="4"/>
  <c r="H800" i="4" s="1"/>
  <c r="B800" i="4"/>
  <c r="A800" i="4"/>
  <c r="G799" i="4"/>
  <c r="F799" i="4"/>
  <c r="E799" i="4"/>
  <c r="D799" i="4"/>
  <c r="C799" i="4"/>
  <c r="H799" i="4" s="1"/>
  <c r="B799" i="4"/>
  <c r="A799" i="4"/>
  <c r="F798" i="4"/>
  <c r="E798" i="4"/>
  <c r="D798" i="4"/>
  <c r="G798" i="4" s="1"/>
  <c r="C798" i="4"/>
  <c r="H798" i="4" s="1"/>
  <c r="B798" i="4"/>
  <c r="A798" i="4"/>
  <c r="G797" i="4"/>
  <c r="F797" i="4"/>
  <c r="E797" i="4"/>
  <c r="D797" i="4"/>
  <c r="C797" i="4"/>
  <c r="H797" i="4" s="1"/>
  <c r="B797" i="4"/>
  <c r="A797" i="4"/>
  <c r="G796" i="4"/>
  <c r="F796" i="4"/>
  <c r="E796" i="4"/>
  <c r="D796" i="4"/>
  <c r="C796" i="4"/>
  <c r="H796" i="4" s="1"/>
  <c r="B796" i="4"/>
  <c r="A796" i="4"/>
  <c r="F795" i="4"/>
  <c r="E795" i="4"/>
  <c r="D795" i="4"/>
  <c r="G795" i="4" s="1"/>
  <c r="C795" i="4"/>
  <c r="H795" i="4" s="1"/>
  <c r="B795" i="4"/>
  <c r="A795" i="4"/>
  <c r="G794" i="4"/>
  <c r="F794" i="4"/>
  <c r="E794" i="4"/>
  <c r="D794" i="4"/>
  <c r="C794" i="4"/>
  <c r="H794" i="4" s="1"/>
  <c r="B794" i="4"/>
  <c r="A794" i="4"/>
  <c r="G793" i="4"/>
  <c r="F793" i="4"/>
  <c r="E793" i="4"/>
  <c r="D793" i="4"/>
  <c r="C793" i="4"/>
  <c r="H793" i="4" s="1"/>
  <c r="B793" i="4"/>
  <c r="A793" i="4"/>
  <c r="F792" i="4"/>
  <c r="E792" i="4"/>
  <c r="D792" i="4"/>
  <c r="G792" i="4" s="1"/>
  <c r="C792" i="4"/>
  <c r="H792" i="4" s="1"/>
  <c r="B792" i="4"/>
  <c r="A792" i="4"/>
  <c r="G791" i="4"/>
  <c r="F791" i="4"/>
  <c r="E791" i="4"/>
  <c r="D791" i="4"/>
  <c r="C791" i="4"/>
  <c r="H791" i="4" s="1"/>
  <c r="B791" i="4"/>
  <c r="A791" i="4"/>
  <c r="G790" i="4"/>
  <c r="F790" i="4"/>
  <c r="E790" i="4"/>
  <c r="D790" i="4"/>
  <c r="C790" i="4"/>
  <c r="H790" i="4" s="1"/>
  <c r="B790" i="4"/>
  <c r="A790" i="4"/>
  <c r="H789" i="4"/>
  <c r="F789" i="4"/>
  <c r="E789" i="4"/>
  <c r="D789" i="4"/>
  <c r="G789" i="4" s="1"/>
  <c r="C789" i="4"/>
  <c r="B789" i="4"/>
  <c r="A789" i="4"/>
  <c r="G788" i="4"/>
  <c r="F788" i="4"/>
  <c r="E788" i="4"/>
  <c r="D788" i="4"/>
  <c r="C788" i="4"/>
  <c r="H788" i="4" s="1"/>
  <c r="B788" i="4"/>
  <c r="A788" i="4"/>
  <c r="G787" i="4"/>
  <c r="F787" i="4"/>
  <c r="E787" i="4"/>
  <c r="D787" i="4"/>
  <c r="C787" i="4"/>
  <c r="H787" i="4" s="1"/>
  <c r="B787" i="4"/>
  <c r="A787" i="4"/>
  <c r="H786" i="4"/>
  <c r="G786" i="4"/>
  <c r="F786" i="4"/>
  <c r="E786" i="4"/>
  <c r="D786" i="4"/>
  <c r="C786" i="4"/>
  <c r="B786" i="4"/>
  <c r="A786" i="4"/>
  <c r="F785" i="4"/>
  <c r="E785" i="4"/>
  <c r="D785" i="4"/>
  <c r="G785" i="4" s="1"/>
  <c r="C785" i="4"/>
  <c r="H785" i="4" s="1"/>
  <c r="B785" i="4"/>
  <c r="A785" i="4"/>
  <c r="G784" i="4"/>
  <c r="F784" i="4"/>
  <c r="E784" i="4"/>
  <c r="D784" i="4"/>
  <c r="C784" i="4"/>
  <c r="H784" i="4" s="1"/>
  <c r="B784" i="4"/>
  <c r="A784" i="4"/>
  <c r="H783" i="4"/>
  <c r="G783" i="4"/>
  <c r="F783" i="4"/>
  <c r="E783" i="4"/>
  <c r="D783" i="4"/>
  <c r="C783" i="4"/>
  <c r="B783" i="4"/>
  <c r="A783" i="4"/>
  <c r="F782" i="4"/>
  <c r="E782" i="4"/>
  <c r="D782" i="4"/>
  <c r="G782" i="4" s="1"/>
  <c r="C782" i="4"/>
  <c r="H782" i="4" s="1"/>
  <c r="B782" i="4"/>
  <c r="A782" i="4"/>
  <c r="G781" i="4"/>
  <c r="F781" i="4"/>
  <c r="E781" i="4"/>
  <c r="D781" i="4"/>
  <c r="C781" i="4"/>
  <c r="H781" i="4" s="1"/>
  <c r="B781" i="4"/>
  <c r="A781" i="4"/>
  <c r="H780" i="4"/>
  <c r="G780" i="4"/>
  <c r="F780" i="4"/>
  <c r="E780" i="4"/>
  <c r="D780" i="4"/>
  <c r="C780" i="4"/>
  <c r="B780" i="4"/>
  <c r="A780" i="4"/>
  <c r="F779" i="4"/>
  <c r="E779" i="4"/>
  <c r="D779" i="4"/>
  <c r="G779" i="4" s="1"/>
  <c r="C779" i="4"/>
  <c r="H779" i="4" s="1"/>
  <c r="B779" i="4"/>
  <c r="A779" i="4"/>
  <c r="H778" i="4"/>
  <c r="G778" i="4"/>
  <c r="F778" i="4"/>
  <c r="E778" i="4"/>
  <c r="D778" i="4"/>
  <c r="C778" i="4"/>
  <c r="B778" i="4"/>
  <c r="A778" i="4"/>
  <c r="H777" i="4"/>
  <c r="F777" i="4"/>
  <c r="E777" i="4"/>
  <c r="D777" i="4"/>
  <c r="G777" i="4" s="1"/>
  <c r="C777" i="4"/>
  <c r="B777" i="4"/>
  <c r="A777" i="4"/>
  <c r="F776" i="4"/>
  <c r="E776" i="4"/>
  <c r="D776" i="4"/>
  <c r="G776" i="4" s="1"/>
  <c r="C776" i="4"/>
  <c r="H776" i="4" s="1"/>
  <c r="B776" i="4"/>
  <c r="A776" i="4"/>
  <c r="H775" i="4"/>
  <c r="G775" i="4"/>
  <c r="F775" i="4"/>
  <c r="E775" i="4"/>
  <c r="D775" i="4"/>
  <c r="C775" i="4"/>
  <c r="B775" i="4"/>
  <c r="A775" i="4"/>
  <c r="F774" i="4"/>
  <c r="E774" i="4"/>
  <c r="D774" i="4"/>
  <c r="G774" i="4" s="1"/>
  <c r="C774" i="4"/>
  <c r="H774" i="4" s="1"/>
  <c r="B774" i="4"/>
  <c r="A774" i="4"/>
  <c r="F773" i="4"/>
  <c r="E773" i="4"/>
  <c r="D773" i="4"/>
  <c r="G773" i="4" s="1"/>
  <c r="C773" i="4"/>
  <c r="H773" i="4" s="1"/>
  <c r="B773" i="4"/>
  <c r="A773" i="4"/>
  <c r="H772" i="4"/>
  <c r="G772" i="4"/>
  <c r="F772" i="4"/>
  <c r="E772" i="4"/>
  <c r="D772" i="4"/>
  <c r="C772" i="4"/>
  <c r="B772" i="4"/>
  <c r="A772" i="4"/>
  <c r="F771" i="4"/>
  <c r="E771" i="4"/>
  <c r="D771" i="4"/>
  <c r="G771" i="4" s="1"/>
  <c r="C771" i="4"/>
  <c r="H771" i="4" s="1"/>
  <c r="B771" i="4"/>
  <c r="A771" i="4"/>
  <c r="F770" i="4"/>
  <c r="E770" i="4"/>
  <c r="D770" i="4"/>
  <c r="G770" i="4" s="1"/>
  <c r="C770" i="4"/>
  <c r="H770" i="4" s="1"/>
  <c r="B770" i="4"/>
  <c r="A770" i="4"/>
  <c r="H769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H768" i="4" s="1"/>
  <c r="B768" i="4"/>
  <c r="A768" i="4"/>
  <c r="F767" i="4"/>
  <c r="E767" i="4"/>
  <c r="D767" i="4"/>
  <c r="G767" i="4" s="1"/>
  <c r="C767" i="4"/>
  <c r="H767" i="4" s="1"/>
  <c r="B767" i="4"/>
  <c r="A767" i="4"/>
  <c r="H766" i="4"/>
  <c r="G766" i="4"/>
  <c r="F766" i="4"/>
  <c r="E766" i="4"/>
  <c r="D766" i="4"/>
  <c r="C766" i="4"/>
  <c r="B766" i="4"/>
  <c r="A766" i="4"/>
  <c r="F765" i="4"/>
  <c r="E765" i="4"/>
  <c r="D765" i="4"/>
  <c r="G765" i="4" s="1"/>
  <c r="C765" i="4"/>
  <c r="H765" i="4" s="1"/>
  <c r="B765" i="4"/>
  <c r="A765" i="4"/>
  <c r="G764" i="4"/>
  <c r="F764" i="4"/>
  <c r="E764" i="4"/>
  <c r="D764" i="4"/>
  <c r="C764" i="4"/>
  <c r="H764" i="4" s="1"/>
  <c r="B764" i="4"/>
  <c r="A764" i="4"/>
  <c r="H763" i="4"/>
  <c r="G763" i="4"/>
  <c r="F763" i="4"/>
  <c r="E763" i="4"/>
  <c r="D763" i="4"/>
  <c r="C763" i="4"/>
  <c r="B763" i="4"/>
  <c r="A763" i="4"/>
  <c r="F762" i="4"/>
  <c r="E762" i="4"/>
  <c r="D762" i="4"/>
  <c r="G762" i="4" s="1"/>
  <c r="C762" i="4"/>
  <c r="H762" i="4" s="1"/>
  <c r="B762" i="4"/>
  <c r="A762" i="4"/>
  <c r="G761" i="4"/>
  <c r="F761" i="4"/>
  <c r="E761" i="4"/>
  <c r="D761" i="4"/>
  <c r="C761" i="4"/>
  <c r="H761" i="4" s="1"/>
  <c r="B761" i="4"/>
  <c r="A761" i="4"/>
  <c r="G760" i="4"/>
  <c r="F760" i="4"/>
  <c r="E760" i="4"/>
  <c r="D760" i="4"/>
  <c r="C760" i="4"/>
  <c r="H760" i="4" s="1"/>
  <c r="B760" i="4"/>
  <c r="A760" i="4"/>
  <c r="F759" i="4"/>
  <c r="E759" i="4"/>
  <c r="D759" i="4"/>
  <c r="G759" i="4" s="1"/>
  <c r="C759" i="4"/>
  <c r="H759" i="4" s="1"/>
  <c r="B759" i="4"/>
  <c r="A759" i="4"/>
  <c r="G758" i="4"/>
  <c r="F758" i="4"/>
  <c r="E758" i="4"/>
  <c r="D758" i="4"/>
  <c r="C758" i="4"/>
  <c r="H758" i="4" s="1"/>
  <c r="B758" i="4"/>
  <c r="A758" i="4"/>
  <c r="G757" i="4"/>
  <c r="F757" i="4"/>
  <c r="E757" i="4"/>
  <c r="D757" i="4"/>
  <c r="C757" i="4"/>
  <c r="H757" i="4" s="1"/>
  <c r="B757" i="4"/>
  <c r="A757" i="4"/>
  <c r="F756" i="4"/>
  <c r="E756" i="4"/>
  <c r="D756" i="4"/>
  <c r="G756" i="4" s="1"/>
  <c r="C756" i="4"/>
  <c r="H756" i="4" s="1"/>
  <c r="B756" i="4"/>
  <c r="A756" i="4"/>
  <c r="F755" i="4"/>
  <c r="E755" i="4"/>
  <c r="D755" i="4"/>
  <c r="G755" i="4" s="1"/>
  <c r="C755" i="4"/>
  <c r="H755" i="4" s="1"/>
  <c r="B755" i="4"/>
  <c r="A755" i="4"/>
  <c r="G754" i="4"/>
  <c r="F754" i="4"/>
  <c r="E754" i="4"/>
  <c r="D754" i="4"/>
  <c r="C754" i="4"/>
  <c r="H754" i="4" s="1"/>
  <c r="B754" i="4"/>
  <c r="A754" i="4"/>
  <c r="H753" i="4"/>
  <c r="F753" i="4"/>
  <c r="E753" i="4"/>
  <c r="D753" i="4"/>
  <c r="G753" i="4" s="1"/>
  <c r="C753" i="4"/>
  <c r="B753" i="4"/>
  <c r="A753" i="4"/>
  <c r="F752" i="4"/>
  <c r="E752" i="4"/>
  <c r="D752" i="4"/>
  <c r="G752" i="4" s="1"/>
  <c r="C752" i="4"/>
  <c r="H752" i="4" s="1"/>
  <c r="B752" i="4"/>
  <c r="A752" i="4"/>
  <c r="G751" i="4"/>
  <c r="F751" i="4"/>
  <c r="E751" i="4"/>
  <c r="D751" i="4"/>
  <c r="C751" i="4"/>
  <c r="H751" i="4" s="1"/>
  <c r="B751" i="4"/>
  <c r="A751" i="4"/>
  <c r="H750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H749" i="4" s="1"/>
  <c r="B749" i="4"/>
  <c r="A749" i="4"/>
  <c r="G748" i="4"/>
  <c r="F748" i="4"/>
  <c r="E748" i="4"/>
  <c r="D748" i="4"/>
  <c r="C748" i="4"/>
  <c r="H748" i="4" s="1"/>
  <c r="B748" i="4"/>
  <c r="A748" i="4"/>
  <c r="H747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H746" i="4" s="1"/>
  <c r="B746" i="4"/>
  <c r="A746" i="4"/>
  <c r="G745" i="4"/>
  <c r="F745" i="4"/>
  <c r="E745" i="4"/>
  <c r="D745" i="4"/>
  <c r="C745" i="4"/>
  <c r="H745" i="4" s="1"/>
  <c r="B745" i="4"/>
  <c r="A745" i="4"/>
  <c r="H744" i="4"/>
  <c r="G744" i="4"/>
  <c r="F744" i="4"/>
  <c r="E744" i="4"/>
  <c r="D744" i="4"/>
  <c r="C744" i="4"/>
  <c r="B744" i="4"/>
  <c r="A744" i="4"/>
  <c r="F743" i="4"/>
  <c r="E743" i="4"/>
  <c r="D743" i="4"/>
  <c r="G743" i="4" s="1"/>
  <c r="C743" i="4"/>
  <c r="H743" i="4" s="1"/>
  <c r="B743" i="4"/>
  <c r="A743" i="4"/>
  <c r="H742" i="4"/>
  <c r="G742" i="4"/>
  <c r="F742" i="4"/>
  <c r="E742" i="4"/>
  <c r="D742" i="4"/>
  <c r="C742" i="4"/>
  <c r="B742" i="4"/>
  <c r="A742" i="4"/>
  <c r="H741" i="4"/>
  <c r="G741" i="4"/>
  <c r="F741" i="4"/>
  <c r="E741" i="4"/>
  <c r="D741" i="4"/>
  <c r="C741" i="4"/>
  <c r="B741" i="4"/>
  <c r="A741" i="4"/>
  <c r="F740" i="4"/>
  <c r="E740" i="4"/>
  <c r="D740" i="4"/>
  <c r="G740" i="4" s="1"/>
  <c r="C740" i="4"/>
  <c r="H740" i="4" s="1"/>
  <c r="B740" i="4"/>
  <c r="A740" i="4"/>
  <c r="H739" i="4"/>
  <c r="G739" i="4"/>
  <c r="F739" i="4"/>
  <c r="E739" i="4"/>
  <c r="D739" i="4"/>
  <c r="C739" i="4"/>
  <c r="B739" i="4"/>
  <c r="A739" i="4"/>
  <c r="H738" i="4"/>
  <c r="F738" i="4"/>
  <c r="E738" i="4"/>
  <c r="D738" i="4"/>
  <c r="G738" i="4" s="1"/>
  <c r="C738" i="4"/>
  <c r="B738" i="4"/>
  <c r="A738" i="4"/>
  <c r="F737" i="4"/>
  <c r="E737" i="4"/>
  <c r="D737" i="4"/>
  <c r="G737" i="4" s="1"/>
  <c r="C737" i="4"/>
  <c r="H737" i="4" s="1"/>
  <c r="B737" i="4"/>
  <c r="A737" i="4"/>
  <c r="H736" i="4"/>
  <c r="G736" i="4"/>
  <c r="F736" i="4"/>
  <c r="E736" i="4"/>
  <c r="D736" i="4"/>
  <c r="C736" i="4"/>
  <c r="B736" i="4"/>
  <c r="A736" i="4"/>
  <c r="F735" i="4"/>
  <c r="E735" i="4"/>
  <c r="D735" i="4"/>
  <c r="G735" i="4" s="1"/>
  <c r="C735" i="4"/>
  <c r="H735" i="4" s="1"/>
  <c r="B735" i="4"/>
  <c r="A735" i="4"/>
  <c r="F734" i="4"/>
  <c r="E734" i="4"/>
  <c r="D734" i="4"/>
  <c r="G734" i="4" s="1"/>
  <c r="C734" i="4"/>
  <c r="H734" i="4" s="1"/>
  <c r="B734" i="4"/>
  <c r="A734" i="4"/>
  <c r="H733" i="4"/>
  <c r="G733" i="4"/>
  <c r="F733" i="4"/>
  <c r="E733" i="4"/>
  <c r="D733" i="4"/>
  <c r="C733" i="4"/>
  <c r="B733" i="4"/>
  <c r="A733" i="4"/>
  <c r="F732" i="4"/>
  <c r="E732" i="4"/>
  <c r="D732" i="4"/>
  <c r="G732" i="4" s="1"/>
  <c r="C732" i="4"/>
  <c r="H732" i="4" s="1"/>
  <c r="B732" i="4"/>
  <c r="A732" i="4"/>
  <c r="F731" i="4"/>
  <c r="E731" i="4"/>
  <c r="D731" i="4"/>
  <c r="G731" i="4" s="1"/>
  <c r="C731" i="4"/>
  <c r="H731" i="4" s="1"/>
  <c r="B731" i="4"/>
  <c r="A731" i="4"/>
  <c r="H730" i="4"/>
  <c r="G730" i="4"/>
  <c r="F730" i="4"/>
  <c r="E730" i="4"/>
  <c r="D730" i="4"/>
  <c r="C730" i="4"/>
  <c r="B730" i="4"/>
  <c r="A730" i="4"/>
  <c r="F729" i="4"/>
  <c r="E729" i="4"/>
  <c r="D729" i="4"/>
  <c r="G729" i="4" s="1"/>
  <c r="C729" i="4"/>
  <c r="H729" i="4" s="1"/>
  <c r="B729" i="4"/>
  <c r="A729" i="4"/>
  <c r="G728" i="4"/>
  <c r="F728" i="4"/>
  <c r="E728" i="4"/>
  <c r="D728" i="4"/>
  <c r="C728" i="4"/>
  <c r="H728" i="4" s="1"/>
  <c r="B728" i="4"/>
  <c r="A728" i="4"/>
  <c r="G727" i="4"/>
  <c r="F727" i="4"/>
  <c r="E727" i="4"/>
  <c r="D727" i="4"/>
  <c r="C727" i="4"/>
  <c r="H727" i="4" s="1"/>
  <c r="B727" i="4"/>
  <c r="A727" i="4"/>
  <c r="F726" i="4"/>
  <c r="E726" i="4"/>
  <c r="D726" i="4"/>
  <c r="G726" i="4" s="1"/>
  <c r="C726" i="4"/>
  <c r="H726" i="4" s="1"/>
  <c r="B726" i="4"/>
  <c r="A726" i="4"/>
  <c r="G725" i="4"/>
  <c r="F725" i="4"/>
  <c r="E725" i="4"/>
  <c r="D725" i="4"/>
  <c r="C725" i="4"/>
  <c r="H725" i="4" s="1"/>
  <c r="B725" i="4"/>
  <c r="A725" i="4"/>
  <c r="H724" i="4"/>
  <c r="G724" i="4"/>
  <c r="F724" i="4"/>
  <c r="E724" i="4"/>
  <c r="D724" i="4"/>
  <c r="C724" i="4"/>
  <c r="B724" i="4"/>
  <c r="A724" i="4"/>
  <c r="F723" i="4"/>
  <c r="E723" i="4"/>
  <c r="D723" i="4"/>
  <c r="G723" i="4" s="1"/>
  <c r="C723" i="4"/>
  <c r="H723" i="4" s="1"/>
  <c r="B723" i="4"/>
  <c r="A723" i="4"/>
  <c r="G722" i="4"/>
  <c r="F722" i="4"/>
  <c r="E722" i="4"/>
  <c r="D722" i="4"/>
  <c r="C722" i="4"/>
  <c r="H722" i="4" s="1"/>
  <c r="B722" i="4"/>
  <c r="A722" i="4"/>
  <c r="G721" i="4"/>
  <c r="F721" i="4"/>
  <c r="E721" i="4"/>
  <c r="D721" i="4"/>
  <c r="C721" i="4"/>
  <c r="H721" i="4" s="1"/>
  <c r="B721" i="4"/>
  <c r="A721" i="4"/>
  <c r="F720" i="4"/>
  <c r="E720" i="4"/>
  <c r="D720" i="4"/>
  <c r="G720" i="4" s="1"/>
  <c r="C720" i="4"/>
  <c r="H720" i="4" s="1"/>
  <c r="B720" i="4"/>
  <c r="A720" i="4"/>
  <c r="F719" i="4"/>
  <c r="E719" i="4"/>
  <c r="D719" i="4"/>
  <c r="G719" i="4" s="1"/>
  <c r="C719" i="4"/>
  <c r="H719" i="4" s="1"/>
  <c r="B719" i="4"/>
  <c r="A719" i="4"/>
  <c r="G718" i="4"/>
  <c r="F718" i="4"/>
  <c r="E718" i="4"/>
  <c r="D718" i="4"/>
  <c r="C718" i="4"/>
  <c r="H718" i="4" s="1"/>
  <c r="B718" i="4"/>
  <c r="A718" i="4"/>
  <c r="H717" i="4"/>
  <c r="F717" i="4"/>
  <c r="E717" i="4"/>
  <c r="D717" i="4"/>
  <c r="G717" i="4" s="1"/>
  <c r="C717" i="4"/>
  <c r="B717" i="4"/>
  <c r="A717" i="4"/>
  <c r="F716" i="4"/>
  <c r="E716" i="4"/>
  <c r="D716" i="4"/>
  <c r="G716" i="4" s="1"/>
  <c r="C716" i="4"/>
  <c r="H716" i="4" s="1"/>
  <c r="B716" i="4"/>
  <c r="A716" i="4"/>
  <c r="G715" i="4"/>
  <c r="F715" i="4"/>
  <c r="E715" i="4"/>
  <c r="D715" i="4"/>
  <c r="C715" i="4"/>
  <c r="H715" i="4" s="1"/>
  <c r="B715" i="4"/>
  <c r="A715" i="4"/>
  <c r="H714" i="4"/>
  <c r="G714" i="4"/>
  <c r="F714" i="4"/>
  <c r="E714" i="4"/>
  <c r="D714" i="4"/>
  <c r="C714" i="4"/>
  <c r="B714" i="4"/>
  <c r="A714" i="4"/>
  <c r="F713" i="4"/>
  <c r="E713" i="4"/>
  <c r="D713" i="4"/>
  <c r="G713" i="4" s="1"/>
  <c r="C713" i="4"/>
  <c r="H713" i="4" s="1"/>
  <c r="B713" i="4"/>
  <c r="A713" i="4"/>
  <c r="G712" i="4"/>
  <c r="F712" i="4"/>
  <c r="E712" i="4"/>
  <c r="D712" i="4"/>
  <c r="C712" i="4"/>
  <c r="H712" i="4" s="1"/>
  <c r="B712" i="4"/>
  <c r="A712" i="4"/>
  <c r="H711" i="4"/>
  <c r="G711" i="4"/>
  <c r="F711" i="4"/>
  <c r="E711" i="4"/>
  <c r="D711" i="4"/>
  <c r="C711" i="4"/>
  <c r="B711" i="4"/>
  <c r="A711" i="4"/>
  <c r="F710" i="4"/>
  <c r="E710" i="4"/>
  <c r="D710" i="4"/>
  <c r="G710" i="4" s="1"/>
  <c r="C710" i="4"/>
  <c r="H710" i="4" s="1"/>
  <c r="B710" i="4"/>
  <c r="A710" i="4"/>
  <c r="G709" i="4"/>
  <c r="F709" i="4"/>
  <c r="E709" i="4"/>
  <c r="D709" i="4"/>
  <c r="C709" i="4"/>
  <c r="H709" i="4" s="1"/>
  <c r="B709" i="4"/>
  <c r="A709" i="4"/>
  <c r="H708" i="4"/>
  <c r="G708" i="4"/>
  <c r="F708" i="4"/>
  <c r="E708" i="4"/>
  <c r="D708" i="4"/>
  <c r="C708" i="4"/>
  <c r="B708" i="4"/>
  <c r="A708" i="4"/>
  <c r="F707" i="4"/>
  <c r="E707" i="4"/>
  <c r="D707" i="4"/>
  <c r="G707" i="4" s="1"/>
  <c r="C707" i="4"/>
  <c r="H707" i="4" s="1"/>
  <c r="B707" i="4"/>
  <c r="A707" i="4"/>
  <c r="H706" i="4"/>
  <c r="G706" i="4"/>
  <c r="F706" i="4"/>
  <c r="E706" i="4"/>
  <c r="D706" i="4"/>
  <c r="C706" i="4"/>
  <c r="B706" i="4"/>
  <c r="A706" i="4"/>
  <c r="H705" i="4"/>
  <c r="F705" i="4"/>
  <c r="E705" i="4"/>
  <c r="D705" i="4"/>
  <c r="G705" i="4" s="1"/>
  <c r="C705" i="4"/>
  <c r="B705" i="4"/>
  <c r="A705" i="4"/>
  <c r="F704" i="4"/>
  <c r="E704" i="4"/>
  <c r="D704" i="4"/>
  <c r="G704" i="4" s="1"/>
  <c r="C704" i="4"/>
  <c r="H704" i="4" s="1"/>
  <c r="B704" i="4"/>
  <c r="A704" i="4"/>
  <c r="H703" i="4"/>
  <c r="G703" i="4"/>
  <c r="F703" i="4"/>
  <c r="E703" i="4"/>
  <c r="D703" i="4"/>
  <c r="C703" i="4"/>
  <c r="B703" i="4"/>
  <c r="A703" i="4"/>
  <c r="H702" i="4"/>
  <c r="G702" i="4"/>
  <c r="F702" i="4"/>
  <c r="E702" i="4"/>
  <c r="D702" i="4"/>
  <c r="C702" i="4"/>
  <c r="B702" i="4"/>
  <c r="A702" i="4"/>
  <c r="F701" i="4"/>
  <c r="E701" i="4"/>
  <c r="D701" i="4"/>
  <c r="G701" i="4" s="1"/>
  <c r="C701" i="4"/>
  <c r="H701" i="4" s="1"/>
  <c r="B701" i="4"/>
  <c r="A701" i="4"/>
  <c r="H700" i="4"/>
  <c r="G700" i="4"/>
  <c r="F700" i="4"/>
  <c r="E700" i="4"/>
  <c r="D700" i="4"/>
  <c r="C700" i="4"/>
  <c r="B700" i="4"/>
  <c r="A700" i="4"/>
  <c r="H699" i="4"/>
  <c r="G699" i="4"/>
  <c r="F699" i="4"/>
  <c r="E699" i="4"/>
  <c r="D699" i="4"/>
  <c r="C699" i="4"/>
  <c r="B699" i="4"/>
  <c r="A699" i="4"/>
  <c r="F698" i="4"/>
  <c r="E698" i="4"/>
  <c r="D698" i="4"/>
  <c r="G698" i="4" s="1"/>
  <c r="C698" i="4"/>
  <c r="H698" i="4" s="1"/>
  <c r="B698" i="4"/>
  <c r="A698" i="4"/>
  <c r="H697" i="4"/>
  <c r="G697" i="4"/>
  <c r="F697" i="4"/>
  <c r="E697" i="4"/>
  <c r="D697" i="4"/>
  <c r="C697" i="4"/>
  <c r="B697" i="4"/>
  <c r="A697" i="4"/>
  <c r="F696" i="4"/>
  <c r="E696" i="4"/>
  <c r="D696" i="4"/>
  <c r="G696" i="4" s="1"/>
  <c r="C696" i="4"/>
  <c r="H696" i="4" s="1"/>
  <c r="B696" i="4"/>
  <c r="A696" i="4"/>
  <c r="F695" i="4"/>
  <c r="E695" i="4"/>
  <c r="D695" i="4"/>
  <c r="G695" i="4" s="1"/>
  <c r="C695" i="4"/>
  <c r="H695" i="4" s="1"/>
  <c r="B695" i="4"/>
  <c r="A695" i="4"/>
  <c r="H694" i="4"/>
  <c r="G694" i="4"/>
  <c r="F694" i="4"/>
  <c r="E694" i="4"/>
  <c r="D694" i="4"/>
  <c r="C694" i="4"/>
  <c r="B694" i="4"/>
  <c r="A694" i="4"/>
  <c r="F693" i="4"/>
  <c r="E693" i="4"/>
  <c r="D693" i="4"/>
  <c r="G693" i="4" s="1"/>
  <c r="C693" i="4"/>
  <c r="H693" i="4" s="1"/>
  <c r="B693" i="4"/>
  <c r="A693" i="4"/>
  <c r="G692" i="4"/>
  <c r="F692" i="4"/>
  <c r="E692" i="4"/>
  <c r="D692" i="4"/>
  <c r="C692" i="4"/>
  <c r="H692" i="4" s="1"/>
  <c r="B692" i="4"/>
  <c r="A692" i="4"/>
  <c r="G691" i="4"/>
  <c r="F691" i="4"/>
  <c r="E691" i="4"/>
  <c r="D691" i="4"/>
  <c r="C691" i="4"/>
  <c r="H691" i="4" s="1"/>
  <c r="B691" i="4"/>
  <c r="A691" i="4"/>
  <c r="F690" i="4"/>
  <c r="E690" i="4"/>
  <c r="D690" i="4"/>
  <c r="G690" i="4" s="1"/>
  <c r="C690" i="4"/>
  <c r="H690" i="4" s="1"/>
  <c r="B690" i="4"/>
  <c r="A690" i="4"/>
  <c r="G689" i="4"/>
  <c r="F689" i="4"/>
  <c r="E689" i="4"/>
  <c r="D689" i="4"/>
  <c r="C689" i="4"/>
  <c r="H689" i="4" s="1"/>
  <c r="B689" i="4"/>
  <c r="A689" i="4"/>
  <c r="G688" i="4"/>
  <c r="F688" i="4"/>
  <c r="E688" i="4"/>
  <c r="D688" i="4"/>
  <c r="C688" i="4"/>
  <c r="H688" i="4" s="1"/>
  <c r="B688" i="4"/>
  <c r="A688" i="4"/>
  <c r="F687" i="4"/>
  <c r="E687" i="4"/>
  <c r="D687" i="4"/>
  <c r="G687" i="4" s="1"/>
  <c r="C687" i="4"/>
  <c r="H687" i="4" s="1"/>
  <c r="B687" i="4"/>
  <c r="A687" i="4"/>
  <c r="G686" i="4"/>
  <c r="F686" i="4"/>
  <c r="E686" i="4"/>
  <c r="D686" i="4"/>
  <c r="C686" i="4"/>
  <c r="H686" i="4" s="1"/>
  <c r="B686" i="4"/>
  <c r="A686" i="4"/>
  <c r="G685" i="4"/>
  <c r="F685" i="4"/>
  <c r="E685" i="4"/>
  <c r="D685" i="4"/>
  <c r="C685" i="4"/>
  <c r="H685" i="4" s="1"/>
  <c r="B685" i="4"/>
  <c r="A685" i="4"/>
  <c r="F684" i="4"/>
  <c r="E684" i="4"/>
  <c r="D684" i="4"/>
  <c r="G684" i="4" s="1"/>
  <c r="C684" i="4"/>
  <c r="H684" i="4" s="1"/>
  <c r="B684" i="4"/>
  <c r="A684" i="4"/>
  <c r="G683" i="4"/>
  <c r="F683" i="4"/>
  <c r="E683" i="4"/>
  <c r="D683" i="4"/>
  <c r="C683" i="4"/>
  <c r="H683" i="4" s="1"/>
  <c r="B683" i="4"/>
  <c r="A683" i="4"/>
  <c r="G682" i="4"/>
  <c r="F682" i="4"/>
  <c r="E682" i="4"/>
  <c r="D682" i="4"/>
  <c r="C682" i="4"/>
  <c r="H682" i="4" s="1"/>
  <c r="B682" i="4"/>
  <c r="A682" i="4"/>
  <c r="H681" i="4"/>
  <c r="F681" i="4"/>
  <c r="E681" i="4"/>
  <c r="D681" i="4"/>
  <c r="G681" i="4" s="1"/>
  <c r="C681" i="4"/>
  <c r="B681" i="4"/>
  <c r="A681" i="4"/>
  <c r="G680" i="4"/>
  <c r="F680" i="4"/>
  <c r="E680" i="4"/>
  <c r="D680" i="4"/>
  <c r="C680" i="4"/>
  <c r="H680" i="4" s="1"/>
  <c r="B680" i="4"/>
  <c r="A680" i="4"/>
  <c r="G679" i="4"/>
  <c r="F679" i="4"/>
  <c r="E679" i="4"/>
  <c r="D679" i="4"/>
  <c r="C679" i="4"/>
  <c r="H679" i="4" s="1"/>
  <c r="B679" i="4"/>
  <c r="A679" i="4"/>
  <c r="H678" i="4"/>
  <c r="G678" i="4"/>
  <c r="F678" i="4"/>
  <c r="E678" i="4"/>
  <c r="D678" i="4"/>
  <c r="C678" i="4"/>
  <c r="B678" i="4"/>
  <c r="A678" i="4"/>
  <c r="F677" i="4"/>
  <c r="E677" i="4"/>
  <c r="D677" i="4"/>
  <c r="G677" i="4" s="1"/>
  <c r="C677" i="4"/>
  <c r="H677" i="4" s="1"/>
  <c r="B677" i="4"/>
  <c r="A677" i="4"/>
  <c r="G676" i="4"/>
  <c r="F676" i="4"/>
  <c r="E676" i="4"/>
  <c r="D676" i="4"/>
  <c r="C676" i="4"/>
  <c r="H676" i="4" s="1"/>
  <c r="B676" i="4"/>
  <c r="A676" i="4"/>
  <c r="H675" i="4"/>
  <c r="G675" i="4"/>
  <c r="F675" i="4"/>
  <c r="E675" i="4"/>
  <c r="D675" i="4"/>
  <c r="C675" i="4"/>
  <c r="B675" i="4"/>
  <c r="A675" i="4"/>
  <c r="F674" i="4"/>
  <c r="E674" i="4"/>
  <c r="D674" i="4"/>
  <c r="G674" i="4" s="1"/>
  <c r="C674" i="4"/>
  <c r="H674" i="4" s="1"/>
  <c r="B674" i="4"/>
  <c r="A674" i="4"/>
  <c r="G673" i="4"/>
  <c r="F673" i="4"/>
  <c r="E673" i="4"/>
  <c r="D673" i="4"/>
  <c r="C673" i="4"/>
  <c r="H673" i="4" s="1"/>
  <c r="B673" i="4"/>
  <c r="A673" i="4"/>
  <c r="H672" i="4"/>
  <c r="G672" i="4"/>
  <c r="F672" i="4"/>
  <c r="E672" i="4"/>
  <c r="D672" i="4"/>
  <c r="C672" i="4"/>
  <c r="B672" i="4"/>
  <c r="A672" i="4"/>
  <c r="F671" i="4"/>
  <c r="E671" i="4"/>
  <c r="D671" i="4"/>
  <c r="G671" i="4" s="1"/>
  <c r="C671" i="4"/>
  <c r="H671" i="4" s="1"/>
  <c r="B671" i="4"/>
  <c r="A671" i="4"/>
  <c r="H670" i="4"/>
  <c r="G670" i="4"/>
  <c r="F670" i="4"/>
  <c r="E670" i="4"/>
  <c r="D670" i="4"/>
  <c r="C670" i="4"/>
  <c r="B670" i="4"/>
  <c r="A670" i="4"/>
  <c r="H669" i="4"/>
  <c r="F669" i="4"/>
  <c r="E669" i="4"/>
  <c r="D669" i="4"/>
  <c r="G669" i="4" s="1"/>
  <c r="C669" i="4"/>
  <c r="B669" i="4"/>
  <c r="A669" i="4"/>
  <c r="F668" i="4"/>
  <c r="E668" i="4"/>
  <c r="D668" i="4"/>
  <c r="G668" i="4" s="1"/>
  <c r="C668" i="4"/>
  <c r="H668" i="4" s="1"/>
  <c r="B668" i="4"/>
  <c r="A668" i="4"/>
  <c r="H667" i="4"/>
  <c r="G667" i="4"/>
  <c r="F667" i="4"/>
  <c r="E667" i="4"/>
  <c r="D667" i="4"/>
  <c r="C667" i="4"/>
  <c r="B667" i="4"/>
  <c r="A667" i="4"/>
  <c r="F666" i="4"/>
  <c r="E666" i="4"/>
  <c r="D666" i="4"/>
  <c r="G666" i="4" s="1"/>
  <c r="C666" i="4"/>
  <c r="H666" i="4" s="1"/>
  <c r="B666" i="4"/>
  <c r="A666" i="4"/>
  <c r="F665" i="4"/>
  <c r="E665" i="4"/>
  <c r="D665" i="4"/>
  <c r="G665" i="4" s="1"/>
  <c r="C665" i="4"/>
  <c r="H665" i="4" s="1"/>
  <c r="B665" i="4"/>
  <c r="A665" i="4"/>
  <c r="H664" i="4"/>
  <c r="G664" i="4"/>
  <c r="F664" i="4"/>
  <c r="E664" i="4"/>
  <c r="D664" i="4"/>
  <c r="C664" i="4"/>
  <c r="B664" i="4"/>
  <c r="A664" i="4"/>
  <c r="F663" i="4"/>
  <c r="E663" i="4"/>
  <c r="D663" i="4"/>
  <c r="G663" i="4" s="1"/>
  <c r="C663" i="4"/>
  <c r="H663" i="4" s="1"/>
  <c r="B663" i="4"/>
  <c r="A663" i="4"/>
  <c r="F662" i="4"/>
  <c r="E662" i="4"/>
  <c r="D662" i="4"/>
  <c r="G662" i="4" s="1"/>
  <c r="C662" i="4"/>
  <c r="H662" i="4" s="1"/>
  <c r="B662" i="4"/>
  <c r="A662" i="4"/>
  <c r="H661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H660" i="4" s="1"/>
  <c r="B660" i="4"/>
  <c r="A660" i="4"/>
  <c r="F659" i="4"/>
  <c r="E659" i="4"/>
  <c r="D659" i="4"/>
  <c r="G659" i="4" s="1"/>
  <c r="C659" i="4"/>
  <c r="H659" i="4" s="1"/>
  <c r="B659" i="4"/>
  <c r="A659" i="4"/>
  <c r="H658" i="4"/>
  <c r="G658" i="4"/>
  <c r="F658" i="4"/>
  <c r="E658" i="4"/>
  <c r="D658" i="4"/>
  <c r="C658" i="4"/>
  <c r="B658" i="4"/>
  <c r="A658" i="4"/>
  <c r="F657" i="4"/>
  <c r="E657" i="4"/>
  <c r="D657" i="4"/>
  <c r="G657" i="4" s="1"/>
  <c r="C657" i="4"/>
  <c r="H657" i="4" s="1"/>
  <c r="B657" i="4"/>
  <c r="A657" i="4"/>
  <c r="G656" i="4"/>
  <c r="F656" i="4"/>
  <c r="E656" i="4"/>
  <c r="D656" i="4"/>
  <c r="C656" i="4"/>
  <c r="H656" i="4" s="1"/>
  <c r="B656" i="4"/>
  <c r="A656" i="4"/>
  <c r="H655" i="4"/>
  <c r="G655" i="4"/>
  <c r="F655" i="4"/>
  <c r="E655" i="4"/>
  <c r="D655" i="4"/>
  <c r="C655" i="4"/>
  <c r="B655" i="4"/>
  <c r="A655" i="4"/>
  <c r="F654" i="4"/>
  <c r="E654" i="4"/>
  <c r="D654" i="4"/>
  <c r="G654" i="4" s="1"/>
  <c r="C654" i="4"/>
  <c r="H654" i="4" s="1"/>
  <c r="B654" i="4"/>
  <c r="A654" i="4"/>
  <c r="G653" i="4"/>
  <c r="F653" i="4"/>
  <c r="E653" i="4"/>
  <c r="D653" i="4"/>
  <c r="C653" i="4"/>
  <c r="H653" i="4" s="1"/>
  <c r="B653" i="4"/>
  <c r="A653" i="4"/>
  <c r="G652" i="4"/>
  <c r="F652" i="4"/>
  <c r="E652" i="4"/>
  <c r="D652" i="4"/>
  <c r="C652" i="4"/>
  <c r="H652" i="4" s="1"/>
  <c r="B652" i="4"/>
  <c r="A652" i="4"/>
  <c r="F651" i="4"/>
  <c r="E651" i="4"/>
  <c r="D651" i="4"/>
  <c r="G651" i="4" s="1"/>
  <c r="C651" i="4"/>
  <c r="H651" i="4" s="1"/>
  <c r="B651" i="4"/>
  <c r="A651" i="4"/>
  <c r="G650" i="4"/>
  <c r="F650" i="4"/>
  <c r="E650" i="4"/>
  <c r="D650" i="4"/>
  <c r="C650" i="4"/>
  <c r="H650" i="4" s="1"/>
  <c r="B650" i="4"/>
  <c r="A650" i="4"/>
  <c r="G649" i="4"/>
  <c r="F649" i="4"/>
  <c r="E649" i="4"/>
  <c r="D649" i="4"/>
  <c r="C649" i="4"/>
  <c r="H649" i="4" s="1"/>
  <c r="B649" i="4"/>
  <c r="A649" i="4"/>
  <c r="F648" i="4"/>
  <c r="E648" i="4"/>
  <c r="D648" i="4"/>
  <c r="G648" i="4" s="1"/>
  <c r="C648" i="4"/>
  <c r="H648" i="4" s="1"/>
  <c r="B648" i="4"/>
  <c r="A648" i="4"/>
  <c r="F647" i="4"/>
  <c r="E647" i="4"/>
  <c r="D647" i="4"/>
  <c r="G647" i="4" s="1"/>
  <c r="C647" i="4"/>
  <c r="H647" i="4" s="1"/>
  <c r="B647" i="4"/>
  <c r="A647" i="4"/>
  <c r="G646" i="4"/>
  <c r="F646" i="4"/>
  <c r="E646" i="4"/>
  <c r="D646" i="4"/>
  <c r="C646" i="4"/>
  <c r="H646" i="4" s="1"/>
  <c r="B646" i="4"/>
  <c r="A646" i="4"/>
  <c r="H645" i="4"/>
  <c r="F645" i="4"/>
  <c r="E645" i="4"/>
  <c r="D645" i="4"/>
  <c r="G645" i="4" s="1"/>
  <c r="C645" i="4"/>
  <c r="B645" i="4"/>
  <c r="A645" i="4"/>
  <c r="F644" i="4"/>
  <c r="E644" i="4"/>
  <c r="D644" i="4"/>
  <c r="G644" i="4" s="1"/>
  <c r="C644" i="4"/>
  <c r="H644" i="4" s="1"/>
  <c r="B644" i="4"/>
  <c r="A644" i="4"/>
  <c r="G643" i="4"/>
  <c r="F643" i="4"/>
  <c r="E643" i="4"/>
  <c r="D643" i="4"/>
  <c r="C643" i="4"/>
  <c r="H643" i="4" s="1"/>
  <c r="B643" i="4"/>
  <c r="A643" i="4"/>
  <c r="H642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H641" i="4" s="1"/>
  <c r="B641" i="4"/>
  <c r="A641" i="4"/>
  <c r="G640" i="4"/>
  <c r="F640" i="4"/>
  <c r="E640" i="4"/>
  <c r="D640" i="4"/>
  <c r="C640" i="4"/>
  <c r="H640" i="4" s="1"/>
  <c r="B640" i="4"/>
  <c r="A640" i="4"/>
  <c r="H639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H638" i="4" s="1"/>
  <c r="B638" i="4"/>
  <c r="A638" i="4"/>
  <c r="G637" i="4"/>
  <c r="F637" i="4"/>
  <c r="E637" i="4"/>
  <c r="D637" i="4"/>
  <c r="C637" i="4"/>
  <c r="H637" i="4" s="1"/>
  <c r="B637" i="4"/>
  <c r="A637" i="4"/>
  <c r="H636" i="4"/>
  <c r="G636" i="4"/>
  <c r="F636" i="4"/>
  <c r="E636" i="4"/>
  <c r="D636" i="4"/>
  <c r="C636" i="4"/>
  <c r="B636" i="4"/>
  <c r="A636" i="4"/>
  <c r="F635" i="4"/>
  <c r="E635" i="4"/>
  <c r="D635" i="4"/>
  <c r="G635" i="4" s="1"/>
  <c r="C635" i="4"/>
  <c r="H635" i="4" s="1"/>
  <c r="B635" i="4"/>
  <c r="A635" i="4"/>
  <c r="H634" i="4"/>
  <c r="G634" i="4"/>
  <c r="F634" i="4"/>
  <c r="E634" i="4"/>
  <c r="D634" i="4"/>
  <c r="C634" i="4"/>
  <c r="B634" i="4"/>
  <c r="A634" i="4"/>
  <c r="H633" i="4"/>
  <c r="G633" i="4"/>
  <c r="F633" i="4"/>
  <c r="E633" i="4"/>
  <c r="D633" i="4"/>
  <c r="C633" i="4"/>
  <c r="B633" i="4"/>
  <c r="A633" i="4"/>
  <c r="F632" i="4"/>
  <c r="E632" i="4"/>
  <c r="D632" i="4"/>
  <c r="G632" i="4" s="1"/>
  <c r="C632" i="4"/>
  <c r="H632" i="4" s="1"/>
  <c r="B632" i="4"/>
  <c r="A632" i="4"/>
  <c r="H631" i="4"/>
  <c r="G631" i="4"/>
  <c r="F631" i="4"/>
  <c r="E631" i="4"/>
  <c r="D631" i="4"/>
  <c r="C631" i="4"/>
  <c r="B631" i="4"/>
  <c r="A631" i="4"/>
  <c r="H630" i="4"/>
  <c r="F630" i="4"/>
  <c r="E630" i="4"/>
  <c r="D630" i="4"/>
  <c r="G630" i="4" s="1"/>
  <c r="C630" i="4"/>
  <c r="B630" i="4"/>
  <c r="A630" i="4"/>
  <c r="F629" i="4"/>
  <c r="E629" i="4"/>
  <c r="D629" i="4"/>
  <c r="G629" i="4" s="1"/>
  <c r="C629" i="4"/>
  <c r="H629" i="4" s="1"/>
  <c r="B629" i="4"/>
  <c r="A629" i="4"/>
  <c r="H628" i="4"/>
  <c r="G628" i="4"/>
  <c r="F628" i="4"/>
  <c r="E628" i="4"/>
  <c r="D628" i="4"/>
  <c r="C628" i="4"/>
  <c r="B628" i="4"/>
  <c r="A628" i="4"/>
  <c r="F627" i="4"/>
  <c r="E627" i="4"/>
  <c r="D627" i="4"/>
  <c r="G627" i="4" s="1"/>
  <c r="C627" i="4"/>
  <c r="H627" i="4" s="1"/>
  <c r="B627" i="4"/>
  <c r="A627" i="4"/>
  <c r="F626" i="4"/>
  <c r="E626" i="4"/>
  <c r="D626" i="4"/>
  <c r="G626" i="4" s="1"/>
  <c r="C626" i="4"/>
  <c r="H626" i="4" s="1"/>
  <c r="B626" i="4"/>
  <c r="A626" i="4"/>
  <c r="H625" i="4"/>
  <c r="G625" i="4"/>
  <c r="F625" i="4"/>
  <c r="E625" i="4"/>
  <c r="D625" i="4"/>
  <c r="C625" i="4"/>
  <c r="B625" i="4"/>
  <c r="A625" i="4"/>
  <c r="F624" i="4"/>
  <c r="E624" i="4"/>
  <c r="D624" i="4"/>
  <c r="G624" i="4" s="1"/>
  <c r="C624" i="4"/>
  <c r="H624" i="4" s="1"/>
  <c r="B624" i="4"/>
  <c r="A624" i="4"/>
  <c r="F623" i="4"/>
  <c r="E623" i="4"/>
  <c r="D623" i="4"/>
  <c r="G623" i="4" s="1"/>
  <c r="C623" i="4"/>
  <c r="H623" i="4" s="1"/>
  <c r="B623" i="4"/>
  <c r="A623" i="4"/>
  <c r="H622" i="4"/>
  <c r="G622" i="4"/>
  <c r="F622" i="4"/>
  <c r="E622" i="4"/>
  <c r="D622" i="4"/>
  <c r="C622" i="4"/>
  <c r="B622" i="4"/>
  <c r="A622" i="4"/>
  <c r="F621" i="4"/>
  <c r="E621" i="4"/>
  <c r="D621" i="4"/>
  <c r="G621" i="4" s="1"/>
  <c r="C621" i="4"/>
  <c r="H621" i="4" s="1"/>
  <c r="B621" i="4"/>
  <c r="A621" i="4"/>
  <c r="G620" i="4"/>
  <c r="F620" i="4"/>
  <c r="E620" i="4"/>
  <c r="D620" i="4"/>
  <c r="C620" i="4"/>
  <c r="H620" i="4" s="1"/>
  <c r="B620" i="4"/>
  <c r="A620" i="4"/>
  <c r="G619" i="4"/>
  <c r="F619" i="4"/>
  <c r="E619" i="4"/>
  <c r="D619" i="4"/>
  <c r="C619" i="4"/>
  <c r="H619" i="4" s="1"/>
  <c r="B619" i="4"/>
  <c r="A619" i="4"/>
  <c r="F618" i="4"/>
  <c r="E618" i="4"/>
  <c r="D618" i="4"/>
  <c r="G618" i="4" s="1"/>
  <c r="C618" i="4"/>
  <c r="H618" i="4" s="1"/>
  <c r="B618" i="4"/>
  <c r="A618" i="4"/>
  <c r="G617" i="4"/>
  <c r="F617" i="4"/>
  <c r="E617" i="4"/>
  <c r="D617" i="4"/>
  <c r="C617" i="4"/>
  <c r="H617" i="4" s="1"/>
  <c r="B617" i="4"/>
  <c r="A617" i="4"/>
  <c r="H616" i="4"/>
  <c r="G616" i="4"/>
  <c r="F616" i="4"/>
  <c r="E616" i="4"/>
  <c r="D616" i="4"/>
  <c r="C616" i="4"/>
  <c r="B616" i="4"/>
  <c r="A616" i="4"/>
  <c r="F615" i="4"/>
  <c r="E615" i="4"/>
  <c r="D615" i="4"/>
  <c r="G615" i="4" s="1"/>
  <c r="C615" i="4"/>
  <c r="H615" i="4" s="1"/>
  <c r="B615" i="4"/>
  <c r="A615" i="4"/>
  <c r="G614" i="4"/>
  <c r="F614" i="4"/>
  <c r="E614" i="4"/>
  <c r="D614" i="4"/>
  <c r="C614" i="4"/>
  <c r="H614" i="4" s="1"/>
  <c r="B614" i="4"/>
  <c r="A614" i="4"/>
  <c r="G613" i="4"/>
  <c r="F613" i="4"/>
  <c r="E613" i="4"/>
  <c r="D613" i="4"/>
  <c r="C613" i="4"/>
  <c r="H613" i="4" s="1"/>
  <c r="B613" i="4"/>
  <c r="A613" i="4"/>
  <c r="F612" i="4"/>
  <c r="E612" i="4"/>
  <c r="D612" i="4"/>
  <c r="G612" i="4" s="1"/>
  <c r="C612" i="4"/>
  <c r="H612" i="4" s="1"/>
  <c r="B612" i="4"/>
  <c r="A612" i="4"/>
  <c r="F611" i="4"/>
  <c r="E611" i="4"/>
  <c r="D611" i="4"/>
  <c r="G611" i="4" s="1"/>
  <c r="C611" i="4"/>
  <c r="H611" i="4" s="1"/>
  <c r="B611" i="4"/>
  <c r="A611" i="4"/>
  <c r="G610" i="4"/>
  <c r="F610" i="4"/>
  <c r="E610" i="4"/>
  <c r="D610" i="4"/>
  <c r="C610" i="4"/>
  <c r="H610" i="4" s="1"/>
  <c r="B610" i="4"/>
  <c r="A610" i="4"/>
  <c r="H609" i="4"/>
  <c r="F609" i="4"/>
  <c r="E609" i="4"/>
  <c r="D609" i="4"/>
  <c r="G609" i="4" s="1"/>
  <c r="C609" i="4"/>
  <c r="B609" i="4"/>
  <c r="A609" i="4"/>
  <c r="F608" i="4"/>
  <c r="E608" i="4"/>
  <c r="D608" i="4"/>
  <c r="G608" i="4" s="1"/>
  <c r="C608" i="4"/>
  <c r="H608" i="4" s="1"/>
  <c r="B608" i="4"/>
  <c r="A608" i="4"/>
  <c r="G607" i="4"/>
  <c r="F607" i="4"/>
  <c r="E607" i="4"/>
  <c r="D607" i="4"/>
  <c r="C607" i="4"/>
  <c r="H607" i="4" s="1"/>
  <c r="B607" i="4"/>
  <c r="A607" i="4"/>
  <c r="H606" i="4"/>
  <c r="G606" i="4"/>
  <c r="F606" i="4"/>
  <c r="E606" i="4"/>
  <c r="D606" i="4"/>
  <c r="C606" i="4"/>
  <c r="B606" i="4"/>
  <c r="A606" i="4"/>
  <c r="F605" i="4"/>
  <c r="E605" i="4"/>
  <c r="D605" i="4"/>
  <c r="G605" i="4" s="1"/>
  <c r="C605" i="4"/>
  <c r="H605" i="4" s="1"/>
  <c r="B605" i="4"/>
  <c r="A605" i="4"/>
  <c r="G604" i="4"/>
  <c r="F604" i="4"/>
  <c r="E604" i="4"/>
  <c r="D604" i="4"/>
  <c r="C604" i="4"/>
  <c r="H604" i="4" s="1"/>
  <c r="B604" i="4"/>
  <c r="A604" i="4"/>
  <c r="H603" i="4"/>
  <c r="G603" i="4"/>
  <c r="F603" i="4"/>
  <c r="E603" i="4"/>
  <c r="D603" i="4"/>
  <c r="C603" i="4"/>
  <c r="B603" i="4"/>
  <c r="A603" i="4"/>
  <c r="F602" i="4"/>
  <c r="E602" i="4"/>
  <c r="D602" i="4"/>
  <c r="G602" i="4" s="1"/>
  <c r="C602" i="4"/>
  <c r="H602" i="4" s="1"/>
  <c r="B602" i="4"/>
  <c r="A602" i="4"/>
  <c r="G601" i="4"/>
  <c r="F601" i="4"/>
  <c r="E601" i="4"/>
  <c r="D601" i="4"/>
  <c r="C601" i="4"/>
  <c r="H601" i="4" s="1"/>
  <c r="B601" i="4"/>
  <c r="A601" i="4"/>
  <c r="H600" i="4"/>
  <c r="G600" i="4"/>
  <c r="F600" i="4"/>
  <c r="E600" i="4"/>
  <c r="D600" i="4"/>
  <c r="C600" i="4"/>
  <c r="B600" i="4"/>
  <c r="A600" i="4"/>
  <c r="F599" i="4"/>
  <c r="E599" i="4"/>
  <c r="D599" i="4"/>
  <c r="G599" i="4" s="1"/>
  <c r="C599" i="4"/>
  <c r="H599" i="4" s="1"/>
  <c r="B599" i="4"/>
  <c r="A599" i="4"/>
  <c r="H598" i="4"/>
  <c r="G598" i="4"/>
  <c r="F598" i="4"/>
  <c r="E598" i="4"/>
  <c r="D598" i="4"/>
  <c r="C598" i="4"/>
  <c r="B598" i="4"/>
  <c r="A598" i="4"/>
  <c r="H597" i="4"/>
  <c r="F597" i="4"/>
  <c r="E597" i="4"/>
  <c r="D597" i="4"/>
  <c r="G597" i="4" s="1"/>
  <c r="C597" i="4"/>
  <c r="B597" i="4"/>
  <c r="A597" i="4"/>
  <c r="F596" i="4"/>
  <c r="E596" i="4"/>
  <c r="D596" i="4"/>
  <c r="G596" i="4" s="1"/>
  <c r="C596" i="4"/>
  <c r="H596" i="4" s="1"/>
  <c r="B596" i="4"/>
  <c r="A596" i="4"/>
  <c r="H595" i="4"/>
  <c r="G595" i="4"/>
  <c r="F595" i="4"/>
  <c r="E595" i="4"/>
  <c r="D595" i="4"/>
  <c r="C595" i="4"/>
  <c r="B595" i="4"/>
  <c r="A595" i="4"/>
  <c r="H594" i="4"/>
  <c r="G594" i="4"/>
  <c r="F594" i="4"/>
  <c r="E594" i="4"/>
  <c r="D594" i="4"/>
  <c r="C594" i="4"/>
  <c r="B594" i="4"/>
  <c r="A594" i="4"/>
  <c r="F593" i="4"/>
  <c r="E593" i="4"/>
  <c r="D593" i="4"/>
  <c r="G593" i="4" s="1"/>
  <c r="C593" i="4"/>
  <c r="H593" i="4" s="1"/>
  <c r="B593" i="4"/>
  <c r="A593" i="4"/>
  <c r="H592" i="4"/>
  <c r="G592" i="4"/>
  <c r="F592" i="4"/>
  <c r="E592" i="4"/>
  <c r="D592" i="4"/>
  <c r="C592" i="4"/>
  <c r="B592" i="4"/>
  <c r="A592" i="4"/>
  <c r="H591" i="4"/>
  <c r="G591" i="4"/>
  <c r="F591" i="4"/>
  <c r="E591" i="4"/>
  <c r="D591" i="4"/>
  <c r="C591" i="4"/>
  <c r="B591" i="4"/>
  <c r="A591" i="4"/>
  <c r="F590" i="4"/>
  <c r="E590" i="4"/>
  <c r="D590" i="4"/>
  <c r="G590" i="4" s="1"/>
  <c r="C590" i="4"/>
  <c r="B590" i="4"/>
  <c r="A590" i="4"/>
  <c r="H590" i="4" s="1"/>
  <c r="H589" i="4"/>
  <c r="G589" i="4"/>
  <c r="F589" i="4"/>
  <c r="E589" i="4"/>
  <c r="D589" i="4"/>
  <c r="C589" i="4"/>
  <c r="B589" i="4"/>
  <c r="A589" i="4"/>
  <c r="F588" i="4"/>
  <c r="E588" i="4"/>
  <c r="D588" i="4"/>
  <c r="G588" i="4" s="1"/>
  <c r="C588" i="4"/>
  <c r="H588" i="4" s="1"/>
  <c r="B588" i="4"/>
  <c r="A588" i="4"/>
  <c r="F587" i="4"/>
  <c r="E587" i="4"/>
  <c r="D587" i="4"/>
  <c r="G587" i="4" s="1"/>
  <c r="C587" i="4"/>
  <c r="B587" i="4"/>
  <c r="A587" i="4"/>
  <c r="H587" i="4" s="1"/>
  <c r="H586" i="4"/>
  <c r="G586" i="4"/>
  <c r="F586" i="4"/>
  <c r="E586" i="4"/>
  <c r="D586" i="4"/>
  <c r="C586" i="4"/>
  <c r="B586" i="4"/>
  <c r="A586" i="4"/>
  <c r="F585" i="4"/>
  <c r="E585" i="4"/>
  <c r="D585" i="4"/>
  <c r="C585" i="4"/>
  <c r="H585" i="4" s="1"/>
  <c r="B585" i="4"/>
  <c r="A585" i="4"/>
  <c r="G584" i="4"/>
  <c r="F584" i="4"/>
  <c r="E584" i="4"/>
  <c r="D584" i="4"/>
  <c r="C584" i="4"/>
  <c r="B584" i="4"/>
  <c r="A584" i="4"/>
  <c r="H584" i="4" s="1"/>
  <c r="G583" i="4"/>
  <c r="F583" i="4"/>
  <c r="E583" i="4"/>
  <c r="D583" i="4"/>
  <c r="C583" i="4"/>
  <c r="H583" i="4" s="1"/>
  <c r="B583" i="4"/>
  <c r="A583" i="4"/>
  <c r="F582" i="4"/>
  <c r="E582" i="4"/>
  <c r="D582" i="4"/>
  <c r="G582" i="4" s="1"/>
  <c r="C582" i="4"/>
  <c r="H582" i="4" s="1"/>
  <c r="B582" i="4"/>
  <c r="A582" i="4"/>
  <c r="G581" i="4"/>
  <c r="F581" i="4"/>
  <c r="E581" i="4"/>
  <c r="D581" i="4"/>
  <c r="C581" i="4"/>
  <c r="B581" i="4"/>
  <c r="A581" i="4"/>
  <c r="H581" i="4" s="1"/>
  <c r="G580" i="4"/>
  <c r="F580" i="4"/>
  <c r="E580" i="4"/>
  <c r="D580" i="4"/>
  <c r="C580" i="4"/>
  <c r="H580" i="4" s="1"/>
  <c r="B580" i="4"/>
  <c r="A580" i="4"/>
  <c r="F579" i="4"/>
  <c r="E579" i="4"/>
  <c r="D579" i="4"/>
  <c r="G579" i="4" s="1"/>
  <c r="C579" i="4"/>
  <c r="H579" i="4" s="1"/>
  <c r="B579" i="4"/>
  <c r="A579" i="4"/>
  <c r="G578" i="4"/>
  <c r="F578" i="4"/>
  <c r="E578" i="4"/>
  <c r="D578" i="4"/>
  <c r="C578" i="4"/>
  <c r="B578" i="4"/>
  <c r="A578" i="4"/>
  <c r="H578" i="4" s="1"/>
  <c r="G577" i="4"/>
  <c r="F577" i="4"/>
  <c r="E577" i="4"/>
  <c r="D577" i="4"/>
  <c r="C577" i="4"/>
  <c r="H577" i="4" s="1"/>
  <c r="B577" i="4"/>
  <c r="A577" i="4"/>
  <c r="F576" i="4"/>
  <c r="E576" i="4"/>
  <c r="D576" i="4"/>
  <c r="G576" i="4" s="1"/>
  <c r="C576" i="4"/>
  <c r="H576" i="4" s="1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H574" i="4" s="1"/>
  <c r="B574" i="4"/>
  <c r="A574" i="4"/>
  <c r="H573" i="4"/>
  <c r="F573" i="4"/>
  <c r="E573" i="4"/>
  <c r="D573" i="4"/>
  <c r="G573" i="4" s="1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H571" i="4" s="1"/>
  <c r="B571" i="4"/>
  <c r="A571" i="4"/>
  <c r="H570" i="4"/>
  <c r="G570" i="4"/>
  <c r="F570" i="4"/>
  <c r="E570" i="4"/>
  <c r="D570" i="4"/>
  <c r="C570" i="4"/>
  <c r="B570" i="4"/>
  <c r="A570" i="4"/>
  <c r="F569" i="4"/>
  <c r="E569" i="4"/>
  <c r="D569" i="4"/>
  <c r="G569" i="4" s="1"/>
  <c r="C569" i="4"/>
  <c r="B569" i="4"/>
  <c r="A569" i="4"/>
  <c r="G568" i="4"/>
  <c r="F568" i="4"/>
  <c r="E568" i="4"/>
  <c r="D568" i="4"/>
  <c r="C568" i="4"/>
  <c r="H568" i="4" s="1"/>
  <c r="B568" i="4"/>
  <c r="A568" i="4"/>
  <c r="H567" i="4"/>
  <c r="G567" i="4"/>
  <c r="F567" i="4"/>
  <c r="E567" i="4"/>
  <c r="D567" i="4"/>
  <c r="C567" i="4"/>
  <c r="B567" i="4"/>
  <c r="A567" i="4"/>
  <c r="F566" i="4"/>
  <c r="E566" i="4"/>
  <c r="D566" i="4"/>
  <c r="G566" i="4" s="1"/>
  <c r="C566" i="4"/>
  <c r="B566" i="4"/>
  <c r="A566" i="4"/>
  <c r="H566" i="4" s="1"/>
  <c r="G565" i="4"/>
  <c r="F565" i="4"/>
  <c r="E565" i="4"/>
  <c r="D565" i="4"/>
  <c r="C565" i="4"/>
  <c r="H565" i="4" s="1"/>
  <c r="B565" i="4"/>
  <c r="A565" i="4"/>
  <c r="H564" i="4"/>
  <c r="F564" i="4"/>
  <c r="E564" i="4"/>
  <c r="G564" i="4" s="1"/>
  <c r="D564" i="4"/>
  <c r="C564" i="4"/>
  <c r="B564" i="4"/>
  <c r="A564" i="4"/>
  <c r="F563" i="4"/>
  <c r="E563" i="4"/>
  <c r="D563" i="4"/>
  <c r="G563" i="4" s="1"/>
  <c r="C563" i="4"/>
  <c r="B563" i="4"/>
  <c r="A563" i="4"/>
  <c r="H563" i="4" s="1"/>
  <c r="H562" i="4"/>
  <c r="G562" i="4"/>
  <c r="F562" i="4"/>
  <c r="E562" i="4"/>
  <c r="D562" i="4"/>
  <c r="C562" i="4"/>
  <c r="B562" i="4"/>
  <c r="A562" i="4"/>
  <c r="H561" i="4"/>
  <c r="F561" i="4"/>
  <c r="E561" i="4"/>
  <c r="D561" i="4"/>
  <c r="G561" i="4" s="1"/>
  <c r="C561" i="4"/>
  <c r="B561" i="4"/>
  <c r="A561" i="4"/>
  <c r="F560" i="4"/>
  <c r="E560" i="4"/>
  <c r="D560" i="4"/>
  <c r="G560" i="4" s="1"/>
  <c r="C560" i="4"/>
  <c r="B560" i="4"/>
  <c r="A560" i="4"/>
  <c r="H560" i="4" s="1"/>
  <c r="H559" i="4"/>
  <c r="G559" i="4"/>
  <c r="F559" i="4"/>
  <c r="E559" i="4"/>
  <c r="D559" i="4"/>
  <c r="C559" i="4"/>
  <c r="B559" i="4"/>
  <c r="A559" i="4"/>
  <c r="F558" i="4"/>
  <c r="E558" i="4"/>
  <c r="D558" i="4"/>
  <c r="G558" i="4" s="1"/>
  <c r="C558" i="4"/>
  <c r="H558" i="4" s="1"/>
  <c r="B558" i="4"/>
  <c r="A558" i="4"/>
  <c r="F557" i="4"/>
  <c r="E557" i="4"/>
  <c r="D557" i="4"/>
  <c r="G557" i="4" s="1"/>
  <c r="C557" i="4"/>
  <c r="B557" i="4"/>
  <c r="A557" i="4"/>
  <c r="H557" i="4" s="1"/>
  <c r="H556" i="4"/>
  <c r="G556" i="4"/>
  <c r="F556" i="4"/>
  <c r="E556" i="4"/>
  <c r="D556" i="4"/>
  <c r="C556" i="4"/>
  <c r="B556" i="4"/>
  <c r="A556" i="4"/>
  <c r="F555" i="4"/>
  <c r="E555" i="4"/>
  <c r="D555" i="4"/>
  <c r="G555" i="4" s="1"/>
  <c r="C555" i="4"/>
  <c r="H555" i="4" s="1"/>
  <c r="B555" i="4"/>
  <c r="A555" i="4"/>
  <c r="F554" i="4"/>
  <c r="E554" i="4"/>
  <c r="D554" i="4"/>
  <c r="G554" i="4" s="1"/>
  <c r="C554" i="4"/>
  <c r="B554" i="4"/>
  <c r="A554" i="4"/>
  <c r="H553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H552" i="4" s="1"/>
  <c r="B552" i="4"/>
  <c r="A552" i="4"/>
  <c r="F551" i="4"/>
  <c r="E551" i="4"/>
  <c r="D551" i="4"/>
  <c r="G551" i="4" s="1"/>
  <c r="C551" i="4"/>
  <c r="B551" i="4"/>
  <c r="A551" i="4"/>
  <c r="H551" i="4" s="1"/>
  <c r="H550" i="4"/>
  <c r="G550" i="4"/>
  <c r="F550" i="4"/>
  <c r="E550" i="4"/>
  <c r="D550" i="4"/>
  <c r="C550" i="4"/>
  <c r="B550" i="4"/>
  <c r="A550" i="4"/>
  <c r="F549" i="4"/>
  <c r="E549" i="4"/>
  <c r="D549" i="4"/>
  <c r="G549" i="4" s="1"/>
  <c r="C549" i="4"/>
  <c r="H549" i="4" s="1"/>
  <c r="B549" i="4"/>
  <c r="A549" i="4"/>
  <c r="G548" i="4"/>
  <c r="F548" i="4"/>
  <c r="E548" i="4"/>
  <c r="D548" i="4"/>
  <c r="C548" i="4"/>
  <c r="B548" i="4"/>
  <c r="A548" i="4"/>
  <c r="H548" i="4" s="1"/>
  <c r="H547" i="4"/>
  <c r="G547" i="4"/>
  <c r="F547" i="4"/>
  <c r="E547" i="4"/>
  <c r="D547" i="4"/>
  <c r="C547" i="4"/>
  <c r="B547" i="4"/>
  <c r="A547" i="4"/>
  <c r="F546" i="4"/>
  <c r="E546" i="4"/>
  <c r="D546" i="4"/>
  <c r="G546" i="4" s="1"/>
  <c r="C546" i="4"/>
  <c r="H546" i="4" s="1"/>
  <c r="B546" i="4"/>
  <c r="A546" i="4"/>
  <c r="G545" i="4"/>
  <c r="F545" i="4"/>
  <c r="E545" i="4"/>
  <c r="D545" i="4"/>
  <c r="C545" i="4"/>
  <c r="B545" i="4"/>
  <c r="A545" i="4"/>
  <c r="H545" i="4" s="1"/>
  <c r="G544" i="4"/>
  <c r="F544" i="4"/>
  <c r="E544" i="4"/>
  <c r="D544" i="4"/>
  <c r="C544" i="4"/>
  <c r="H544" i="4" s="1"/>
  <c r="B544" i="4"/>
  <c r="A544" i="4"/>
  <c r="F543" i="4"/>
  <c r="E543" i="4"/>
  <c r="D543" i="4"/>
  <c r="G543" i="4" s="1"/>
  <c r="C543" i="4"/>
  <c r="H543" i="4" s="1"/>
  <c r="B543" i="4"/>
  <c r="A543" i="4"/>
  <c r="G542" i="4"/>
  <c r="F542" i="4"/>
  <c r="E542" i="4"/>
  <c r="D542" i="4"/>
  <c r="C542" i="4"/>
  <c r="B542" i="4"/>
  <c r="A542" i="4"/>
  <c r="H542" i="4" s="1"/>
  <c r="G541" i="4"/>
  <c r="F541" i="4"/>
  <c r="E541" i="4"/>
  <c r="D541" i="4"/>
  <c r="C541" i="4"/>
  <c r="H541" i="4" s="1"/>
  <c r="B541" i="4"/>
  <c r="A541" i="4"/>
  <c r="F540" i="4"/>
  <c r="E540" i="4"/>
  <c r="D540" i="4"/>
  <c r="G540" i="4" s="1"/>
  <c r="C540" i="4"/>
  <c r="H540" i="4" s="1"/>
  <c r="B540" i="4"/>
  <c r="A540" i="4"/>
  <c r="F539" i="4"/>
  <c r="E539" i="4"/>
  <c r="D539" i="4"/>
  <c r="G539" i="4" s="1"/>
  <c r="C539" i="4"/>
  <c r="B539" i="4"/>
  <c r="A539" i="4"/>
  <c r="G538" i="4"/>
  <c r="F538" i="4"/>
  <c r="E538" i="4"/>
  <c r="D538" i="4"/>
  <c r="C538" i="4"/>
  <c r="H538" i="4" s="1"/>
  <c r="B538" i="4"/>
  <c r="A538" i="4"/>
  <c r="H537" i="4"/>
  <c r="F537" i="4"/>
  <c r="E537" i="4"/>
  <c r="D537" i="4"/>
  <c r="G537" i="4" s="1"/>
  <c r="C537" i="4"/>
  <c r="B537" i="4"/>
  <c r="A537" i="4"/>
  <c r="F536" i="4"/>
  <c r="E536" i="4"/>
  <c r="D536" i="4"/>
  <c r="G536" i="4" s="1"/>
  <c r="C536" i="4"/>
  <c r="B536" i="4"/>
  <c r="A536" i="4"/>
  <c r="G535" i="4"/>
  <c r="F535" i="4"/>
  <c r="E535" i="4"/>
  <c r="D535" i="4"/>
  <c r="C535" i="4"/>
  <c r="H535" i="4" s="1"/>
  <c r="B535" i="4"/>
  <c r="A535" i="4"/>
  <c r="H534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H532" i="4" s="1"/>
  <c r="B532" i="4"/>
  <c r="A532" i="4"/>
  <c r="H531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H530" i="4" s="1"/>
  <c r="G529" i="4"/>
  <c r="F529" i="4"/>
  <c r="E529" i="4"/>
  <c r="D529" i="4"/>
  <c r="C529" i="4"/>
  <c r="H529" i="4" s="1"/>
  <c r="B529" i="4"/>
  <c r="A529" i="4"/>
  <c r="H528" i="4"/>
  <c r="G528" i="4"/>
  <c r="F528" i="4"/>
  <c r="E528" i="4"/>
  <c r="D528" i="4"/>
  <c r="C528" i="4"/>
  <c r="B528" i="4"/>
  <c r="A528" i="4"/>
  <c r="F527" i="4"/>
  <c r="E527" i="4"/>
  <c r="D527" i="4"/>
  <c r="G527" i="4" s="1"/>
  <c r="C527" i="4"/>
  <c r="B527" i="4"/>
  <c r="A527" i="4"/>
  <c r="H526" i="4"/>
  <c r="G526" i="4"/>
  <c r="F526" i="4"/>
  <c r="E526" i="4"/>
  <c r="D526" i="4"/>
  <c r="C526" i="4"/>
  <c r="B526" i="4"/>
  <c r="A526" i="4"/>
  <c r="H525" i="4"/>
  <c r="G525" i="4"/>
  <c r="F525" i="4"/>
  <c r="E525" i="4"/>
  <c r="D525" i="4"/>
  <c r="C525" i="4"/>
  <c r="B525" i="4"/>
  <c r="A525" i="4"/>
  <c r="F524" i="4"/>
  <c r="E524" i="4"/>
  <c r="D524" i="4"/>
  <c r="G524" i="4" s="1"/>
  <c r="C524" i="4"/>
  <c r="B524" i="4"/>
  <c r="A524" i="4"/>
  <c r="H524" i="4" s="1"/>
  <c r="H523" i="4"/>
  <c r="G523" i="4"/>
  <c r="F523" i="4"/>
  <c r="E523" i="4"/>
  <c r="D523" i="4"/>
  <c r="C523" i="4"/>
  <c r="B523" i="4"/>
  <c r="A523" i="4"/>
  <c r="H522" i="4"/>
  <c r="F522" i="4"/>
  <c r="E522" i="4"/>
  <c r="D522" i="4"/>
  <c r="G522" i="4" s="1"/>
  <c r="C522" i="4"/>
  <c r="B522" i="4"/>
  <c r="A522" i="4"/>
  <c r="F521" i="4"/>
  <c r="E521" i="4"/>
  <c r="D521" i="4"/>
  <c r="G521" i="4" s="1"/>
  <c r="C521" i="4"/>
  <c r="B521" i="4"/>
  <c r="A521" i="4"/>
  <c r="H521" i="4" s="1"/>
  <c r="H520" i="4"/>
  <c r="G520" i="4"/>
  <c r="F520" i="4"/>
  <c r="E520" i="4"/>
  <c r="D520" i="4"/>
  <c r="C520" i="4"/>
  <c r="B520" i="4"/>
  <c r="A520" i="4"/>
  <c r="F519" i="4"/>
  <c r="E519" i="4"/>
  <c r="D519" i="4"/>
  <c r="G519" i="4" s="1"/>
  <c r="C519" i="4"/>
  <c r="H519" i="4" s="1"/>
  <c r="B519" i="4"/>
  <c r="A519" i="4"/>
  <c r="F518" i="4"/>
  <c r="E518" i="4"/>
  <c r="D518" i="4"/>
  <c r="G518" i="4" s="1"/>
  <c r="C518" i="4"/>
  <c r="B518" i="4"/>
  <c r="A518" i="4"/>
  <c r="H518" i="4" s="1"/>
  <c r="H517" i="4"/>
  <c r="G517" i="4"/>
  <c r="F517" i="4"/>
  <c r="E517" i="4"/>
  <c r="D517" i="4"/>
  <c r="C517" i="4"/>
  <c r="B517" i="4"/>
  <c r="A517" i="4"/>
  <c r="F516" i="4"/>
  <c r="E516" i="4"/>
  <c r="D516" i="4"/>
  <c r="G516" i="4" s="1"/>
  <c r="C516" i="4"/>
  <c r="H516" i="4" s="1"/>
  <c r="B516" i="4"/>
  <c r="A516" i="4"/>
  <c r="F515" i="4"/>
  <c r="E515" i="4"/>
  <c r="D515" i="4"/>
  <c r="G515" i="4" s="1"/>
  <c r="C515" i="4"/>
  <c r="B515" i="4"/>
  <c r="A515" i="4"/>
  <c r="H515" i="4" s="1"/>
  <c r="H514" i="4"/>
  <c r="G514" i="4"/>
  <c r="F514" i="4"/>
  <c r="E514" i="4"/>
  <c r="D514" i="4"/>
  <c r="C514" i="4"/>
  <c r="B514" i="4"/>
  <c r="A514" i="4"/>
  <c r="F513" i="4"/>
  <c r="E513" i="4"/>
  <c r="D513" i="4"/>
  <c r="G513" i="4" s="1"/>
  <c r="C513" i="4"/>
  <c r="H513" i="4" s="1"/>
  <c r="B513" i="4"/>
  <c r="A513" i="4"/>
  <c r="G512" i="4"/>
  <c r="F512" i="4"/>
  <c r="E512" i="4"/>
  <c r="D512" i="4"/>
  <c r="C512" i="4"/>
  <c r="B512" i="4"/>
  <c r="A512" i="4"/>
  <c r="H512" i="4" s="1"/>
  <c r="G511" i="4"/>
  <c r="F511" i="4"/>
  <c r="E511" i="4"/>
  <c r="D511" i="4"/>
  <c r="C511" i="4"/>
  <c r="H511" i="4" s="1"/>
  <c r="B511" i="4"/>
  <c r="A511" i="4"/>
  <c r="F510" i="4"/>
  <c r="E510" i="4"/>
  <c r="D510" i="4"/>
  <c r="G510" i="4" s="1"/>
  <c r="C510" i="4"/>
  <c r="H510" i="4" s="1"/>
  <c r="B510" i="4"/>
  <c r="A510" i="4"/>
  <c r="G509" i="4"/>
  <c r="F509" i="4"/>
  <c r="E509" i="4"/>
  <c r="D509" i="4"/>
  <c r="C509" i="4"/>
  <c r="B509" i="4"/>
  <c r="A509" i="4"/>
  <c r="H509" i="4" s="1"/>
  <c r="H508" i="4"/>
  <c r="G508" i="4"/>
  <c r="F508" i="4"/>
  <c r="E508" i="4"/>
  <c r="D508" i="4"/>
  <c r="C508" i="4"/>
  <c r="B508" i="4"/>
  <c r="A508" i="4"/>
  <c r="F507" i="4"/>
  <c r="E507" i="4"/>
  <c r="D507" i="4"/>
  <c r="G507" i="4" s="1"/>
  <c r="C507" i="4"/>
  <c r="H507" i="4" s="1"/>
  <c r="B507" i="4"/>
  <c r="A507" i="4"/>
  <c r="G506" i="4"/>
  <c r="F506" i="4"/>
  <c r="E506" i="4"/>
  <c r="D506" i="4"/>
  <c r="C506" i="4"/>
  <c r="B506" i="4"/>
  <c r="A506" i="4"/>
  <c r="H506" i="4" s="1"/>
  <c r="G505" i="4"/>
  <c r="F505" i="4"/>
  <c r="E505" i="4"/>
  <c r="D505" i="4"/>
  <c r="C505" i="4"/>
  <c r="H505" i="4" s="1"/>
  <c r="B505" i="4"/>
  <c r="A505" i="4"/>
  <c r="F504" i="4"/>
  <c r="E504" i="4"/>
  <c r="D504" i="4"/>
  <c r="G504" i="4" s="1"/>
  <c r="C504" i="4"/>
  <c r="H504" i="4" s="1"/>
  <c r="B504" i="4"/>
  <c r="A504" i="4"/>
  <c r="F503" i="4"/>
  <c r="E503" i="4"/>
  <c r="D503" i="4"/>
  <c r="G503" i="4" s="1"/>
  <c r="C503" i="4"/>
  <c r="B503" i="4"/>
  <c r="A503" i="4"/>
  <c r="G502" i="4"/>
  <c r="F502" i="4"/>
  <c r="E502" i="4"/>
  <c r="D502" i="4"/>
  <c r="C502" i="4"/>
  <c r="H502" i="4" s="1"/>
  <c r="B502" i="4"/>
  <c r="A502" i="4"/>
  <c r="H501" i="4"/>
  <c r="F501" i="4"/>
  <c r="E501" i="4"/>
  <c r="D501" i="4"/>
  <c r="G501" i="4" s="1"/>
  <c r="C501" i="4"/>
  <c r="B501" i="4"/>
  <c r="A501" i="4"/>
  <c r="F500" i="4"/>
  <c r="E500" i="4"/>
  <c r="D500" i="4"/>
  <c r="G500" i="4" s="1"/>
  <c r="C500" i="4"/>
  <c r="B500" i="4"/>
  <c r="A500" i="4"/>
  <c r="G499" i="4"/>
  <c r="F499" i="4"/>
  <c r="E499" i="4"/>
  <c r="D499" i="4"/>
  <c r="C499" i="4"/>
  <c r="H499" i="4" s="1"/>
  <c r="B499" i="4"/>
  <c r="A499" i="4"/>
  <c r="H498" i="4"/>
  <c r="G498" i="4"/>
  <c r="F498" i="4"/>
  <c r="E498" i="4"/>
  <c r="D498" i="4"/>
  <c r="C498" i="4"/>
  <c r="B498" i="4"/>
  <c r="A498" i="4"/>
  <c r="F497" i="4"/>
  <c r="E497" i="4"/>
  <c r="D497" i="4"/>
  <c r="G497" i="4" s="1"/>
  <c r="C497" i="4"/>
  <c r="B497" i="4"/>
  <c r="A497" i="4"/>
  <c r="G496" i="4"/>
  <c r="F496" i="4"/>
  <c r="E496" i="4"/>
  <c r="D496" i="4"/>
  <c r="C496" i="4"/>
  <c r="H496" i="4" s="1"/>
  <c r="B496" i="4"/>
  <c r="A496" i="4"/>
  <c r="H495" i="4"/>
  <c r="G495" i="4"/>
  <c r="F495" i="4"/>
  <c r="E495" i="4"/>
  <c r="D495" i="4"/>
  <c r="C495" i="4"/>
  <c r="B495" i="4"/>
  <c r="A495" i="4"/>
  <c r="F494" i="4"/>
  <c r="E494" i="4"/>
  <c r="D494" i="4"/>
  <c r="G494" i="4" s="1"/>
  <c r="C494" i="4"/>
  <c r="B494" i="4"/>
  <c r="A494" i="4"/>
  <c r="H494" i="4" s="1"/>
  <c r="G493" i="4"/>
  <c r="F493" i="4"/>
  <c r="E493" i="4"/>
  <c r="D493" i="4"/>
  <c r="C493" i="4"/>
  <c r="H493" i="4" s="1"/>
  <c r="B493" i="4"/>
  <c r="A493" i="4"/>
  <c r="H492" i="4"/>
  <c r="F492" i="4"/>
  <c r="E492" i="4"/>
  <c r="G492" i="4" s="1"/>
  <c r="D492" i="4"/>
  <c r="C492" i="4"/>
  <c r="B492" i="4"/>
  <c r="A492" i="4"/>
  <c r="F491" i="4"/>
  <c r="E491" i="4"/>
  <c r="D491" i="4"/>
  <c r="G491" i="4" s="1"/>
  <c r="C491" i="4"/>
  <c r="B491" i="4"/>
  <c r="A491" i="4"/>
  <c r="H491" i="4" s="1"/>
  <c r="H490" i="4"/>
  <c r="G490" i="4"/>
  <c r="F490" i="4"/>
  <c r="E490" i="4"/>
  <c r="D490" i="4"/>
  <c r="C490" i="4"/>
  <c r="B490" i="4"/>
  <c r="A490" i="4"/>
  <c r="H489" i="4"/>
  <c r="F489" i="4"/>
  <c r="E489" i="4"/>
  <c r="D489" i="4"/>
  <c r="G489" i="4" s="1"/>
  <c r="C489" i="4"/>
  <c r="B489" i="4"/>
  <c r="A489" i="4"/>
  <c r="F488" i="4"/>
  <c r="E488" i="4"/>
  <c r="D488" i="4"/>
  <c r="G488" i="4" s="1"/>
  <c r="C488" i="4"/>
  <c r="B488" i="4"/>
  <c r="A488" i="4"/>
  <c r="H487" i="4"/>
  <c r="G487" i="4"/>
  <c r="F487" i="4"/>
  <c r="E487" i="4"/>
  <c r="D487" i="4"/>
  <c r="C487" i="4"/>
  <c r="B487" i="4"/>
  <c r="A487" i="4"/>
  <c r="H486" i="4"/>
  <c r="G486" i="4"/>
  <c r="F486" i="4"/>
  <c r="E486" i="4"/>
  <c r="D486" i="4"/>
  <c r="C486" i="4"/>
  <c r="B486" i="4"/>
  <c r="A486" i="4"/>
  <c r="F485" i="4"/>
  <c r="E485" i="4"/>
  <c r="D485" i="4"/>
  <c r="G485" i="4" s="1"/>
  <c r="C485" i="4"/>
  <c r="B485" i="4"/>
  <c r="A485" i="4"/>
  <c r="H484" i="4"/>
  <c r="G484" i="4"/>
  <c r="F484" i="4"/>
  <c r="E484" i="4"/>
  <c r="D484" i="4"/>
  <c r="C484" i="4"/>
  <c r="B484" i="4"/>
  <c r="A484" i="4"/>
  <c r="H483" i="4"/>
  <c r="G483" i="4"/>
  <c r="F483" i="4"/>
  <c r="E483" i="4"/>
  <c r="D483" i="4"/>
  <c r="C483" i="4"/>
  <c r="B483" i="4"/>
  <c r="A483" i="4"/>
  <c r="F482" i="4"/>
  <c r="E482" i="4"/>
  <c r="D482" i="4"/>
  <c r="G482" i="4" s="1"/>
  <c r="C482" i="4"/>
  <c r="B482" i="4"/>
  <c r="A482" i="4"/>
  <c r="H482" i="4" s="1"/>
  <c r="H481" i="4"/>
  <c r="G481" i="4"/>
  <c r="F481" i="4"/>
  <c r="E481" i="4"/>
  <c r="D481" i="4"/>
  <c r="C481" i="4"/>
  <c r="B481" i="4"/>
  <c r="A481" i="4"/>
  <c r="F480" i="4"/>
  <c r="E480" i="4"/>
  <c r="D480" i="4"/>
  <c r="G480" i="4" s="1"/>
  <c r="C480" i="4"/>
  <c r="H480" i="4" s="1"/>
  <c r="B480" i="4"/>
  <c r="A480" i="4"/>
  <c r="F479" i="4"/>
  <c r="E479" i="4"/>
  <c r="D479" i="4"/>
  <c r="G479" i="4" s="1"/>
  <c r="C479" i="4"/>
  <c r="B479" i="4"/>
  <c r="A479" i="4"/>
  <c r="H479" i="4" s="1"/>
  <c r="H478" i="4"/>
  <c r="G478" i="4"/>
  <c r="F478" i="4"/>
  <c r="E478" i="4"/>
  <c r="D478" i="4"/>
  <c r="C478" i="4"/>
  <c r="B478" i="4"/>
  <c r="A478" i="4"/>
  <c r="F477" i="4"/>
  <c r="E477" i="4"/>
  <c r="D477" i="4"/>
  <c r="C477" i="4"/>
  <c r="H477" i="4" s="1"/>
  <c r="B477" i="4"/>
  <c r="A477" i="4"/>
  <c r="G476" i="4"/>
  <c r="F476" i="4"/>
  <c r="E476" i="4"/>
  <c r="D476" i="4"/>
  <c r="C476" i="4"/>
  <c r="B476" i="4"/>
  <c r="A476" i="4"/>
  <c r="H476" i="4" s="1"/>
  <c r="G475" i="4"/>
  <c r="F475" i="4"/>
  <c r="E475" i="4"/>
  <c r="D475" i="4"/>
  <c r="C475" i="4"/>
  <c r="H475" i="4" s="1"/>
  <c r="B475" i="4"/>
  <c r="A475" i="4"/>
  <c r="F474" i="4"/>
  <c r="E474" i="4"/>
  <c r="D474" i="4"/>
  <c r="G474" i="4" s="1"/>
  <c r="C474" i="4"/>
  <c r="H474" i="4" s="1"/>
  <c r="B474" i="4"/>
  <c r="A474" i="4"/>
  <c r="G473" i="4"/>
  <c r="F473" i="4"/>
  <c r="E473" i="4"/>
  <c r="D473" i="4"/>
  <c r="C473" i="4"/>
  <c r="B473" i="4"/>
  <c r="A473" i="4"/>
  <c r="H473" i="4" s="1"/>
  <c r="G472" i="4"/>
  <c r="F472" i="4"/>
  <c r="E472" i="4"/>
  <c r="D472" i="4"/>
  <c r="C472" i="4"/>
  <c r="H472" i="4" s="1"/>
  <c r="B472" i="4"/>
  <c r="A472" i="4"/>
  <c r="F471" i="4"/>
  <c r="E471" i="4"/>
  <c r="D471" i="4"/>
  <c r="G471" i="4" s="1"/>
  <c r="C471" i="4"/>
  <c r="H471" i="4" s="1"/>
  <c r="B471" i="4"/>
  <c r="A471" i="4"/>
  <c r="G470" i="4"/>
  <c r="F470" i="4"/>
  <c r="E470" i="4"/>
  <c r="D470" i="4"/>
  <c r="C470" i="4"/>
  <c r="B470" i="4"/>
  <c r="A470" i="4"/>
  <c r="H470" i="4" s="1"/>
  <c r="G469" i="4"/>
  <c r="F469" i="4"/>
  <c r="E469" i="4"/>
  <c r="D469" i="4"/>
  <c r="C469" i="4"/>
  <c r="H469" i="4" s="1"/>
  <c r="B469" i="4"/>
  <c r="A469" i="4"/>
  <c r="F468" i="4"/>
  <c r="E468" i="4"/>
  <c r="D468" i="4"/>
  <c r="G468" i="4" s="1"/>
  <c r="C468" i="4"/>
  <c r="H468" i="4" s="1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H466" i="4" s="1"/>
  <c r="B466" i="4"/>
  <c r="A466" i="4"/>
  <c r="H465" i="4"/>
  <c r="F465" i="4"/>
  <c r="E465" i="4"/>
  <c r="D465" i="4"/>
  <c r="G465" i="4" s="1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H463" i="4" s="1"/>
  <c r="B463" i="4"/>
  <c r="A463" i="4"/>
  <c r="H462" i="4"/>
  <c r="G462" i="4"/>
  <c r="F462" i="4"/>
  <c r="E462" i="4"/>
  <c r="D462" i="4"/>
  <c r="C462" i="4"/>
  <c r="B462" i="4"/>
  <c r="A462" i="4"/>
  <c r="F461" i="4"/>
  <c r="E461" i="4"/>
  <c r="D461" i="4"/>
  <c r="G461" i="4" s="1"/>
  <c r="C461" i="4"/>
  <c r="B461" i="4"/>
  <c r="A461" i="4"/>
  <c r="G460" i="4"/>
  <c r="F460" i="4"/>
  <c r="E460" i="4"/>
  <c r="D460" i="4"/>
  <c r="C460" i="4"/>
  <c r="H460" i="4" s="1"/>
  <c r="B460" i="4"/>
  <c r="A460" i="4"/>
  <c r="H459" i="4"/>
  <c r="G459" i="4"/>
  <c r="F459" i="4"/>
  <c r="E459" i="4"/>
  <c r="D459" i="4"/>
  <c r="C459" i="4"/>
  <c r="B459" i="4"/>
  <c r="A459" i="4"/>
  <c r="F458" i="4"/>
  <c r="E458" i="4"/>
  <c r="D458" i="4"/>
  <c r="G458" i="4" s="1"/>
  <c r="C458" i="4"/>
  <c r="B458" i="4"/>
  <c r="A458" i="4"/>
  <c r="H458" i="4" s="1"/>
  <c r="G457" i="4"/>
  <c r="F457" i="4"/>
  <c r="E457" i="4"/>
  <c r="D457" i="4"/>
  <c r="C457" i="4"/>
  <c r="H457" i="4" s="1"/>
  <c r="B457" i="4"/>
  <c r="A457" i="4"/>
  <c r="H456" i="4"/>
  <c r="F456" i="4"/>
  <c r="E456" i="4"/>
  <c r="G456" i="4" s="1"/>
  <c r="D456" i="4"/>
  <c r="C456" i="4"/>
  <c r="B456" i="4"/>
  <c r="A456" i="4"/>
  <c r="F455" i="4"/>
  <c r="E455" i="4"/>
  <c r="D455" i="4"/>
  <c r="G455" i="4" s="1"/>
  <c r="C455" i="4"/>
  <c r="B455" i="4"/>
  <c r="A455" i="4"/>
  <c r="H455" i="4" s="1"/>
  <c r="H454" i="4"/>
  <c r="G454" i="4"/>
  <c r="F454" i="4"/>
  <c r="E454" i="4"/>
  <c r="D454" i="4"/>
  <c r="C454" i="4"/>
  <c r="B454" i="4"/>
  <c r="A454" i="4"/>
  <c r="H453" i="4"/>
  <c r="F453" i="4"/>
  <c r="E453" i="4"/>
  <c r="D453" i="4"/>
  <c r="G453" i="4" s="1"/>
  <c r="C453" i="4"/>
  <c r="B453" i="4"/>
  <c r="A453" i="4"/>
  <c r="F452" i="4"/>
  <c r="E452" i="4"/>
  <c r="D452" i="4"/>
  <c r="G452" i="4" s="1"/>
  <c r="C452" i="4"/>
  <c r="B452" i="4"/>
  <c r="A452" i="4"/>
  <c r="H452" i="4" s="1"/>
  <c r="H451" i="4"/>
  <c r="G451" i="4"/>
  <c r="F451" i="4"/>
  <c r="E451" i="4"/>
  <c r="D451" i="4"/>
  <c r="C451" i="4"/>
  <c r="B451" i="4"/>
  <c r="A451" i="4"/>
  <c r="F450" i="4"/>
  <c r="E450" i="4"/>
  <c r="D450" i="4"/>
  <c r="G450" i="4" s="1"/>
  <c r="C450" i="4"/>
  <c r="H450" i="4" s="1"/>
  <c r="B450" i="4"/>
  <c r="A450" i="4"/>
  <c r="F449" i="4"/>
  <c r="E449" i="4"/>
  <c r="D449" i="4"/>
  <c r="G449" i="4" s="1"/>
  <c r="C449" i="4"/>
  <c r="B449" i="4"/>
  <c r="A449" i="4"/>
  <c r="H449" i="4" s="1"/>
  <c r="H448" i="4"/>
  <c r="G448" i="4"/>
  <c r="F448" i="4"/>
  <c r="E448" i="4"/>
  <c r="D448" i="4"/>
  <c r="C448" i="4"/>
  <c r="B448" i="4"/>
  <c r="A448" i="4"/>
  <c r="F447" i="4"/>
  <c r="E447" i="4"/>
  <c r="D447" i="4"/>
  <c r="G447" i="4" s="1"/>
  <c r="C447" i="4"/>
  <c r="H447" i="4" s="1"/>
  <c r="B447" i="4"/>
  <c r="A447" i="4"/>
  <c r="F446" i="4"/>
  <c r="E446" i="4"/>
  <c r="D446" i="4"/>
  <c r="G446" i="4" s="1"/>
  <c r="C446" i="4"/>
  <c r="B446" i="4"/>
  <c r="A446" i="4"/>
  <c r="H445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H444" i="4" s="1"/>
  <c r="B444" i="4"/>
  <c r="A444" i="4"/>
  <c r="F443" i="4"/>
  <c r="E443" i="4"/>
  <c r="D443" i="4"/>
  <c r="G443" i="4" s="1"/>
  <c r="C443" i="4"/>
  <c r="B443" i="4"/>
  <c r="A443" i="4"/>
  <c r="H443" i="4" s="1"/>
  <c r="H442" i="4"/>
  <c r="G442" i="4"/>
  <c r="F442" i="4"/>
  <c r="E442" i="4"/>
  <c r="D442" i="4"/>
  <c r="C442" i="4"/>
  <c r="B442" i="4"/>
  <c r="A442" i="4"/>
  <c r="F441" i="4"/>
  <c r="E441" i="4"/>
  <c r="D441" i="4"/>
  <c r="G441" i="4" s="1"/>
  <c r="C441" i="4"/>
  <c r="H441" i="4" s="1"/>
  <c r="B441" i="4"/>
  <c r="A441" i="4"/>
  <c r="G440" i="4"/>
  <c r="F440" i="4"/>
  <c r="E440" i="4"/>
  <c r="D440" i="4"/>
  <c r="C440" i="4"/>
  <c r="B440" i="4"/>
  <c r="A440" i="4"/>
  <c r="H440" i="4" s="1"/>
  <c r="H439" i="4"/>
  <c r="G439" i="4"/>
  <c r="F439" i="4"/>
  <c r="E439" i="4"/>
  <c r="D439" i="4"/>
  <c r="C439" i="4"/>
  <c r="B439" i="4"/>
  <c r="A439" i="4"/>
  <c r="F438" i="4"/>
  <c r="E438" i="4"/>
  <c r="D438" i="4"/>
  <c r="G438" i="4" s="1"/>
  <c r="C438" i="4"/>
  <c r="H438" i="4" s="1"/>
  <c r="B438" i="4"/>
  <c r="A438" i="4"/>
  <c r="G437" i="4"/>
  <c r="F437" i="4"/>
  <c r="E437" i="4"/>
  <c r="D437" i="4"/>
  <c r="C437" i="4"/>
  <c r="B437" i="4"/>
  <c r="A437" i="4"/>
  <c r="H437" i="4" s="1"/>
  <c r="G436" i="4"/>
  <c r="F436" i="4"/>
  <c r="E436" i="4"/>
  <c r="D436" i="4"/>
  <c r="C436" i="4"/>
  <c r="H436" i="4" s="1"/>
  <c r="B436" i="4"/>
  <c r="A436" i="4"/>
  <c r="F435" i="4"/>
  <c r="E435" i="4"/>
  <c r="D435" i="4"/>
  <c r="G435" i="4" s="1"/>
  <c r="C435" i="4"/>
  <c r="H435" i="4" s="1"/>
  <c r="B435" i="4"/>
  <c r="A435" i="4"/>
  <c r="G434" i="4"/>
  <c r="F434" i="4"/>
  <c r="E434" i="4"/>
  <c r="D434" i="4"/>
  <c r="C434" i="4"/>
  <c r="B434" i="4"/>
  <c r="A434" i="4"/>
  <c r="H434" i="4" s="1"/>
  <c r="G433" i="4"/>
  <c r="F433" i="4"/>
  <c r="E433" i="4"/>
  <c r="D433" i="4"/>
  <c r="C433" i="4"/>
  <c r="H433" i="4" s="1"/>
  <c r="B433" i="4"/>
  <c r="A433" i="4"/>
  <c r="F432" i="4"/>
  <c r="E432" i="4"/>
  <c r="D432" i="4"/>
  <c r="G432" i="4" s="1"/>
  <c r="C432" i="4"/>
  <c r="H432" i="4" s="1"/>
  <c r="B432" i="4"/>
  <c r="A432" i="4"/>
  <c r="F431" i="4"/>
  <c r="E431" i="4"/>
  <c r="D431" i="4"/>
  <c r="G431" i="4" s="1"/>
  <c r="C431" i="4"/>
  <c r="B431" i="4"/>
  <c r="A431" i="4"/>
  <c r="G430" i="4"/>
  <c r="F430" i="4"/>
  <c r="E430" i="4"/>
  <c r="D430" i="4"/>
  <c r="C430" i="4"/>
  <c r="H430" i="4" s="1"/>
  <c r="B430" i="4"/>
  <c r="A430" i="4"/>
  <c r="H429" i="4"/>
  <c r="F429" i="4"/>
  <c r="E429" i="4"/>
  <c r="D429" i="4"/>
  <c r="G429" i="4" s="1"/>
  <c r="C429" i="4"/>
  <c r="B429" i="4"/>
  <c r="A429" i="4"/>
  <c r="F428" i="4"/>
  <c r="E428" i="4"/>
  <c r="D428" i="4"/>
  <c r="G428" i="4" s="1"/>
  <c r="C428" i="4"/>
  <c r="B428" i="4"/>
  <c r="A428" i="4"/>
  <c r="G427" i="4"/>
  <c r="F427" i="4"/>
  <c r="E427" i="4"/>
  <c r="D427" i="4"/>
  <c r="C427" i="4"/>
  <c r="H427" i="4" s="1"/>
  <c r="B427" i="4"/>
  <c r="A427" i="4"/>
  <c r="H426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H424" i="4" s="1"/>
  <c r="B424" i="4"/>
  <c r="A424" i="4"/>
  <c r="H423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H422" i="4" s="1"/>
  <c r="G421" i="4"/>
  <c r="F421" i="4"/>
  <c r="E421" i="4"/>
  <c r="D421" i="4"/>
  <c r="C421" i="4"/>
  <c r="H421" i="4" s="1"/>
  <c r="B421" i="4"/>
  <c r="A421" i="4"/>
  <c r="H420" i="4"/>
  <c r="G420" i="4"/>
  <c r="F420" i="4"/>
  <c r="E420" i="4"/>
  <c r="D420" i="4"/>
  <c r="C420" i="4"/>
  <c r="B420" i="4"/>
  <c r="A420" i="4"/>
  <c r="F419" i="4"/>
  <c r="E419" i="4"/>
  <c r="D419" i="4"/>
  <c r="G419" i="4" s="1"/>
  <c r="C419" i="4"/>
  <c r="B419" i="4"/>
  <c r="A419" i="4"/>
  <c r="H418" i="4"/>
  <c r="G418" i="4"/>
  <c r="F418" i="4"/>
  <c r="E418" i="4"/>
  <c r="D418" i="4"/>
  <c r="C418" i="4"/>
  <c r="B418" i="4"/>
  <c r="A418" i="4"/>
  <c r="H417" i="4"/>
  <c r="G417" i="4"/>
  <c r="F417" i="4"/>
  <c r="E417" i="4"/>
  <c r="D417" i="4"/>
  <c r="C417" i="4"/>
  <c r="B417" i="4"/>
  <c r="A417" i="4"/>
  <c r="F416" i="4"/>
  <c r="E416" i="4"/>
  <c r="D416" i="4"/>
  <c r="G416" i="4" s="1"/>
  <c r="C416" i="4"/>
  <c r="B416" i="4"/>
  <c r="A416" i="4"/>
  <c r="H416" i="4" s="1"/>
  <c r="H415" i="4"/>
  <c r="G415" i="4"/>
  <c r="F415" i="4"/>
  <c r="E415" i="4"/>
  <c r="D415" i="4"/>
  <c r="C415" i="4"/>
  <c r="B415" i="4"/>
  <c r="A415" i="4"/>
  <c r="H414" i="4"/>
  <c r="F414" i="4"/>
  <c r="E414" i="4"/>
  <c r="D414" i="4"/>
  <c r="G414" i="4" s="1"/>
  <c r="C414" i="4"/>
  <c r="B414" i="4"/>
  <c r="A414" i="4"/>
  <c r="F413" i="4"/>
  <c r="E413" i="4"/>
  <c r="D413" i="4"/>
  <c r="G413" i="4" s="1"/>
  <c r="C413" i="4"/>
  <c r="B413" i="4"/>
  <c r="A413" i="4"/>
  <c r="H413" i="4" s="1"/>
  <c r="H412" i="4"/>
  <c r="G412" i="4"/>
  <c r="F412" i="4"/>
  <c r="E412" i="4"/>
  <c r="D412" i="4"/>
  <c r="C412" i="4"/>
  <c r="B412" i="4"/>
  <c r="A412" i="4"/>
  <c r="F411" i="4"/>
  <c r="E411" i="4"/>
  <c r="D411" i="4"/>
  <c r="G411" i="4" s="1"/>
  <c r="C411" i="4"/>
  <c r="H411" i="4" s="1"/>
  <c r="B411" i="4"/>
  <c r="A411" i="4"/>
  <c r="F410" i="4"/>
  <c r="E410" i="4"/>
  <c r="D410" i="4"/>
  <c r="G410" i="4" s="1"/>
  <c r="C410" i="4"/>
  <c r="B410" i="4"/>
  <c r="A410" i="4"/>
  <c r="H410" i="4" s="1"/>
  <c r="H409" i="4"/>
  <c r="G409" i="4"/>
  <c r="F409" i="4"/>
  <c r="E409" i="4"/>
  <c r="D409" i="4"/>
  <c r="C409" i="4"/>
  <c r="B409" i="4"/>
  <c r="A409" i="4"/>
  <c r="F408" i="4"/>
  <c r="E408" i="4"/>
  <c r="D408" i="4"/>
  <c r="G408" i="4" s="1"/>
  <c r="C408" i="4"/>
  <c r="H408" i="4" s="1"/>
  <c r="B408" i="4"/>
  <c r="A408" i="4"/>
  <c r="G407" i="4"/>
  <c r="F407" i="4"/>
  <c r="E407" i="4"/>
  <c r="D407" i="4"/>
  <c r="C407" i="4"/>
  <c r="B407" i="4"/>
  <c r="A407" i="4"/>
  <c r="H407" i="4" s="1"/>
  <c r="H406" i="4"/>
  <c r="G406" i="4"/>
  <c r="F406" i="4"/>
  <c r="E406" i="4"/>
  <c r="D406" i="4"/>
  <c r="C406" i="4"/>
  <c r="B406" i="4"/>
  <c r="A406" i="4"/>
  <c r="F405" i="4"/>
  <c r="E405" i="4"/>
  <c r="D405" i="4"/>
  <c r="G405" i="4" s="1"/>
  <c r="C405" i="4"/>
  <c r="H405" i="4" s="1"/>
  <c r="B405" i="4"/>
  <c r="A405" i="4"/>
  <c r="G404" i="4"/>
  <c r="F404" i="4"/>
  <c r="E404" i="4"/>
  <c r="D404" i="4"/>
  <c r="C404" i="4"/>
  <c r="B404" i="4"/>
  <c r="A404" i="4"/>
  <c r="H404" i="4" s="1"/>
  <c r="G403" i="4"/>
  <c r="F403" i="4"/>
  <c r="E403" i="4"/>
  <c r="D403" i="4"/>
  <c r="C403" i="4"/>
  <c r="H403" i="4" s="1"/>
  <c r="B403" i="4"/>
  <c r="A403" i="4"/>
  <c r="F402" i="4"/>
  <c r="E402" i="4"/>
  <c r="D402" i="4"/>
  <c r="C402" i="4"/>
  <c r="H402" i="4" s="1"/>
  <c r="B402" i="4"/>
  <c r="A402" i="4"/>
  <c r="G401" i="4"/>
  <c r="F401" i="4"/>
  <c r="E401" i="4"/>
  <c r="D401" i="4"/>
  <c r="C401" i="4"/>
  <c r="B401" i="4"/>
  <c r="A401" i="4"/>
  <c r="H401" i="4" s="1"/>
  <c r="H400" i="4"/>
  <c r="G400" i="4"/>
  <c r="F400" i="4"/>
  <c r="E400" i="4"/>
  <c r="D400" i="4"/>
  <c r="C400" i="4"/>
  <c r="B400" i="4"/>
  <c r="A400" i="4"/>
  <c r="F399" i="4"/>
  <c r="E399" i="4"/>
  <c r="D399" i="4"/>
  <c r="G399" i="4" s="1"/>
  <c r="C399" i="4"/>
  <c r="H399" i="4" s="1"/>
  <c r="B399" i="4"/>
  <c r="A399" i="4"/>
  <c r="G398" i="4"/>
  <c r="F398" i="4"/>
  <c r="E398" i="4"/>
  <c r="D398" i="4"/>
  <c r="C398" i="4"/>
  <c r="B398" i="4"/>
  <c r="A398" i="4"/>
  <c r="H398" i="4" s="1"/>
  <c r="G397" i="4"/>
  <c r="F397" i="4"/>
  <c r="E397" i="4"/>
  <c r="D397" i="4"/>
  <c r="C397" i="4"/>
  <c r="H397" i="4" s="1"/>
  <c r="B397" i="4"/>
  <c r="A397" i="4"/>
  <c r="F396" i="4"/>
  <c r="E396" i="4"/>
  <c r="D396" i="4"/>
  <c r="G396" i="4" s="1"/>
  <c r="C396" i="4"/>
  <c r="H396" i="4" s="1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H394" i="4" s="1"/>
  <c r="B394" i="4"/>
  <c r="A394" i="4"/>
  <c r="H393" i="4"/>
  <c r="G393" i="4"/>
  <c r="F393" i="4"/>
  <c r="E393" i="4"/>
  <c r="D393" i="4"/>
  <c r="C393" i="4"/>
  <c r="B393" i="4"/>
  <c r="A393" i="4"/>
  <c r="F392" i="4"/>
  <c r="E392" i="4"/>
  <c r="D392" i="4"/>
  <c r="G392" i="4" s="1"/>
  <c r="C392" i="4"/>
  <c r="B392" i="4"/>
  <c r="A392" i="4"/>
  <c r="G391" i="4"/>
  <c r="F391" i="4"/>
  <c r="E391" i="4"/>
  <c r="D391" i="4"/>
  <c r="C391" i="4"/>
  <c r="H391" i="4" s="1"/>
  <c r="B391" i="4"/>
  <c r="A391" i="4"/>
  <c r="H390" i="4"/>
  <c r="G390" i="4"/>
  <c r="F390" i="4"/>
  <c r="E390" i="4"/>
  <c r="D390" i="4"/>
  <c r="C390" i="4"/>
  <c r="B390" i="4"/>
  <c r="A390" i="4"/>
  <c r="F389" i="4"/>
  <c r="E389" i="4"/>
  <c r="D389" i="4"/>
  <c r="G389" i="4" s="1"/>
  <c r="C389" i="4"/>
  <c r="B389" i="4"/>
  <c r="A389" i="4"/>
  <c r="G388" i="4"/>
  <c r="F388" i="4"/>
  <c r="E388" i="4"/>
  <c r="D388" i="4"/>
  <c r="C388" i="4"/>
  <c r="H388" i="4" s="1"/>
  <c r="B388" i="4"/>
  <c r="A388" i="4"/>
  <c r="H387" i="4"/>
  <c r="G387" i="4"/>
  <c r="F387" i="4"/>
  <c r="E387" i="4"/>
  <c r="D387" i="4"/>
  <c r="C387" i="4"/>
  <c r="B387" i="4"/>
  <c r="A387" i="4"/>
  <c r="F386" i="4"/>
  <c r="E386" i="4"/>
  <c r="D386" i="4"/>
  <c r="G386" i="4" s="1"/>
  <c r="C386" i="4"/>
  <c r="B386" i="4"/>
  <c r="A386" i="4"/>
  <c r="H386" i="4" s="1"/>
  <c r="G385" i="4"/>
  <c r="F385" i="4"/>
  <c r="E385" i="4"/>
  <c r="D385" i="4"/>
  <c r="C385" i="4"/>
  <c r="H385" i="4" s="1"/>
  <c r="B385" i="4"/>
  <c r="A385" i="4"/>
  <c r="H384" i="4"/>
  <c r="F384" i="4"/>
  <c r="E384" i="4"/>
  <c r="G384" i="4" s="1"/>
  <c r="D384" i="4"/>
  <c r="C384" i="4"/>
  <c r="B384" i="4"/>
  <c r="A384" i="4"/>
  <c r="F383" i="4"/>
  <c r="E383" i="4"/>
  <c r="D383" i="4"/>
  <c r="G383" i="4" s="1"/>
  <c r="C383" i="4"/>
  <c r="B383" i="4"/>
  <c r="A383" i="4"/>
  <c r="H383" i="4" s="1"/>
  <c r="H382" i="4"/>
  <c r="G382" i="4"/>
  <c r="F382" i="4"/>
  <c r="E382" i="4"/>
  <c r="D382" i="4"/>
  <c r="C382" i="4"/>
  <c r="B382" i="4"/>
  <c r="A382" i="4"/>
  <c r="H381" i="4"/>
  <c r="F381" i="4"/>
  <c r="E381" i="4"/>
  <c r="D381" i="4"/>
  <c r="G381" i="4" s="1"/>
  <c r="C381" i="4"/>
  <c r="B381" i="4"/>
  <c r="A381" i="4"/>
  <c r="F380" i="4"/>
  <c r="E380" i="4"/>
  <c r="D380" i="4"/>
  <c r="G380" i="4" s="1"/>
  <c r="C380" i="4"/>
  <c r="B380" i="4"/>
  <c r="A380" i="4"/>
  <c r="H380" i="4" s="1"/>
  <c r="H379" i="4"/>
  <c r="G379" i="4"/>
  <c r="F379" i="4"/>
  <c r="E379" i="4"/>
  <c r="D379" i="4"/>
  <c r="C379" i="4"/>
  <c r="B379" i="4"/>
  <c r="A379" i="4"/>
  <c r="F378" i="4"/>
  <c r="E378" i="4"/>
  <c r="D378" i="4"/>
  <c r="G378" i="4" s="1"/>
  <c r="C378" i="4"/>
  <c r="H378" i="4" s="1"/>
  <c r="B378" i="4"/>
  <c r="A378" i="4"/>
  <c r="F377" i="4"/>
  <c r="E377" i="4"/>
  <c r="D377" i="4"/>
  <c r="G377" i="4" s="1"/>
  <c r="C377" i="4"/>
  <c r="B377" i="4"/>
  <c r="A377" i="4"/>
  <c r="H376" i="4"/>
  <c r="G376" i="4"/>
  <c r="F376" i="4"/>
  <c r="E376" i="4"/>
  <c r="D376" i="4"/>
  <c r="C376" i="4"/>
  <c r="B376" i="4"/>
  <c r="A376" i="4"/>
  <c r="H375" i="4"/>
  <c r="G375" i="4"/>
  <c r="F375" i="4"/>
  <c r="E375" i="4"/>
  <c r="D375" i="4"/>
  <c r="C375" i="4"/>
  <c r="B375" i="4"/>
  <c r="A375" i="4"/>
  <c r="F374" i="4"/>
  <c r="E374" i="4"/>
  <c r="D374" i="4"/>
  <c r="G374" i="4" s="1"/>
  <c r="C374" i="4"/>
  <c r="B374" i="4"/>
  <c r="A374" i="4"/>
  <c r="H373" i="4"/>
  <c r="G373" i="4"/>
  <c r="F373" i="4"/>
  <c r="E373" i="4"/>
  <c r="D373" i="4"/>
  <c r="C373" i="4"/>
  <c r="B373" i="4"/>
  <c r="A373" i="4"/>
  <c r="F372" i="4"/>
  <c r="E372" i="4"/>
  <c r="G372" i="4" s="1"/>
  <c r="D372" i="4"/>
  <c r="C372" i="4"/>
  <c r="H372" i="4" s="1"/>
  <c r="B372" i="4"/>
  <c r="A372" i="4"/>
  <c r="G371" i="4"/>
  <c r="F371" i="4"/>
  <c r="E371" i="4"/>
  <c r="D371" i="4"/>
  <c r="C371" i="4"/>
  <c r="B371" i="4"/>
  <c r="A371" i="4"/>
  <c r="H371" i="4" s="1"/>
  <c r="H370" i="4"/>
  <c r="G370" i="4"/>
  <c r="F370" i="4"/>
  <c r="E370" i="4"/>
  <c r="D370" i="4"/>
  <c r="C370" i="4"/>
  <c r="B370" i="4"/>
  <c r="A370" i="4"/>
  <c r="F369" i="4"/>
  <c r="E369" i="4"/>
  <c r="D369" i="4"/>
  <c r="G369" i="4" s="1"/>
  <c r="C369" i="4"/>
  <c r="H369" i="4" s="1"/>
  <c r="B369" i="4"/>
  <c r="A369" i="4"/>
  <c r="G368" i="4"/>
  <c r="F368" i="4"/>
  <c r="E368" i="4"/>
  <c r="D368" i="4"/>
  <c r="C368" i="4"/>
  <c r="B368" i="4"/>
  <c r="A368" i="4"/>
  <c r="H368" i="4" s="1"/>
  <c r="H367" i="4"/>
  <c r="G367" i="4"/>
  <c r="F367" i="4"/>
  <c r="E367" i="4"/>
  <c r="D367" i="4"/>
  <c r="C367" i="4"/>
  <c r="B367" i="4"/>
  <c r="A367" i="4"/>
  <c r="F366" i="4"/>
  <c r="E366" i="4"/>
  <c r="D366" i="4"/>
  <c r="C366" i="4"/>
  <c r="H366" i="4" s="1"/>
  <c r="B366" i="4"/>
  <c r="A366" i="4"/>
  <c r="G365" i="4"/>
  <c r="F365" i="4"/>
  <c r="E365" i="4"/>
  <c r="D365" i="4"/>
  <c r="C365" i="4"/>
  <c r="B365" i="4"/>
  <c r="A365" i="4"/>
  <c r="H365" i="4" s="1"/>
  <c r="G364" i="4"/>
  <c r="F364" i="4"/>
  <c r="E364" i="4"/>
  <c r="D364" i="4"/>
  <c r="C364" i="4"/>
  <c r="H364" i="4" s="1"/>
  <c r="B364" i="4"/>
  <c r="A364" i="4"/>
  <c r="F363" i="4"/>
  <c r="E363" i="4"/>
  <c r="D363" i="4"/>
  <c r="G363" i="4" s="1"/>
  <c r="C363" i="4"/>
  <c r="H363" i="4" s="1"/>
  <c r="B363" i="4"/>
  <c r="A363" i="4"/>
  <c r="G362" i="4"/>
  <c r="F362" i="4"/>
  <c r="E362" i="4"/>
  <c r="D362" i="4"/>
  <c r="C362" i="4"/>
  <c r="B362" i="4"/>
  <c r="A362" i="4"/>
  <c r="H362" i="4" s="1"/>
  <c r="G361" i="4"/>
  <c r="F361" i="4"/>
  <c r="E361" i="4"/>
  <c r="D361" i="4"/>
  <c r="C361" i="4"/>
  <c r="H361" i="4" s="1"/>
  <c r="B361" i="4"/>
  <c r="A361" i="4"/>
  <c r="F360" i="4"/>
  <c r="E360" i="4"/>
  <c r="D360" i="4"/>
  <c r="G360" i="4" s="1"/>
  <c r="C360" i="4"/>
  <c r="H360" i="4" s="1"/>
  <c r="B360" i="4"/>
  <c r="A360" i="4"/>
  <c r="F359" i="4"/>
  <c r="E359" i="4"/>
  <c r="D359" i="4"/>
  <c r="G359" i="4" s="1"/>
  <c r="C359" i="4"/>
  <c r="B359" i="4"/>
  <c r="A359" i="4"/>
  <c r="G358" i="4"/>
  <c r="F358" i="4"/>
  <c r="E358" i="4"/>
  <c r="D358" i="4"/>
  <c r="C358" i="4"/>
  <c r="H358" i="4" s="1"/>
  <c r="B358" i="4"/>
  <c r="A358" i="4"/>
  <c r="H357" i="4"/>
  <c r="G357" i="4"/>
  <c r="F357" i="4"/>
  <c r="E357" i="4"/>
  <c r="D357" i="4"/>
  <c r="C357" i="4"/>
  <c r="B357" i="4"/>
  <c r="A357" i="4"/>
  <c r="F356" i="4"/>
  <c r="E356" i="4"/>
  <c r="D356" i="4"/>
  <c r="G356" i="4" s="1"/>
  <c r="C356" i="4"/>
  <c r="B356" i="4"/>
  <c r="A356" i="4"/>
  <c r="G355" i="4"/>
  <c r="F355" i="4"/>
  <c r="E355" i="4"/>
  <c r="D355" i="4"/>
  <c r="C355" i="4"/>
  <c r="H355" i="4" s="1"/>
  <c r="B355" i="4"/>
  <c r="A355" i="4"/>
  <c r="H354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H352" i="4" s="1"/>
  <c r="B352" i="4"/>
  <c r="A352" i="4"/>
  <c r="H351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H350" i="4" s="1"/>
  <c r="G349" i="4"/>
  <c r="F349" i="4"/>
  <c r="E349" i="4"/>
  <c r="D349" i="4"/>
  <c r="C349" i="4"/>
  <c r="H349" i="4" s="1"/>
  <c r="B349" i="4"/>
  <c r="A349" i="4"/>
  <c r="H348" i="4"/>
  <c r="G348" i="4"/>
  <c r="F348" i="4"/>
  <c r="E348" i="4"/>
  <c r="D348" i="4"/>
  <c r="C348" i="4"/>
  <c r="B348" i="4"/>
  <c r="A348" i="4"/>
  <c r="F347" i="4"/>
  <c r="E347" i="4"/>
  <c r="D347" i="4"/>
  <c r="G347" i="4" s="1"/>
  <c r="C347" i="4"/>
  <c r="B347" i="4"/>
  <c r="A347" i="4"/>
  <c r="H346" i="4"/>
  <c r="G346" i="4"/>
  <c r="F346" i="4"/>
  <c r="E346" i="4"/>
  <c r="D346" i="4"/>
  <c r="C346" i="4"/>
  <c r="B346" i="4"/>
  <c r="A346" i="4"/>
  <c r="H345" i="4"/>
  <c r="G345" i="4"/>
  <c r="F345" i="4"/>
  <c r="E345" i="4"/>
  <c r="D345" i="4"/>
  <c r="C345" i="4"/>
  <c r="B345" i="4"/>
  <c r="A345" i="4"/>
  <c r="F344" i="4"/>
  <c r="E344" i="4"/>
  <c r="D344" i="4"/>
  <c r="G344" i="4" s="1"/>
  <c r="C344" i="4"/>
  <c r="B344" i="4"/>
  <c r="A344" i="4"/>
  <c r="H344" i="4" s="1"/>
  <c r="H343" i="4"/>
  <c r="G343" i="4"/>
  <c r="F343" i="4"/>
  <c r="E343" i="4"/>
  <c r="D343" i="4"/>
  <c r="C343" i="4"/>
  <c r="B343" i="4"/>
  <c r="A343" i="4"/>
  <c r="H342" i="4"/>
  <c r="F342" i="4"/>
  <c r="E342" i="4"/>
  <c r="D342" i="4"/>
  <c r="G342" i="4" s="1"/>
  <c r="C342" i="4"/>
  <c r="B342" i="4"/>
  <c r="A342" i="4"/>
  <c r="F341" i="4"/>
  <c r="E341" i="4"/>
  <c r="D341" i="4"/>
  <c r="G341" i="4" s="1"/>
  <c r="C341" i="4"/>
  <c r="B341" i="4"/>
  <c r="A341" i="4"/>
  <c r="H341" i="4" s="1"/>
  <c r="H340" i="4"/>
  <c r="G340" i="4"/>
  <c r="F340" i="4"/>
  <c r="E340" i="4"/>
  <c r="D340" i="4"/>
  <c r="C340" i="4"/>
  <c r="B340" i="4"/>
  <c r="A340" i="4"/>
  <c r="H339" i="4"/>
  <c r="F339" i="4"/>
  <c r="E339" i="4"/>
  <c r="D339" i="4"/>
  <c r="G339" i="4" s="1"/>
  <c r="C339" i="4"/>
  <c r="B339" i="4"/>
  <c r="A339" i="4"/>
  <c r="F338" i="4"/>
  <c r="E338" i="4"/>
  <c r="D338" i="4"/>
  <c r="G338" i="4" s="1"/>
  <c r="C338" i="4"/>
  <c r="B338" i="4"/>
  <c r="A338" i="4"/>
  <c r="H338" i="4" s="1"/>
  <c r="H337" i="4"/>
  <c r="G337" i="4"/>
  <c r="F337" i="4"/>
  <c r="E337" i="4"/>
  <c r="D337" i="4"/>
  <c r="C337" i="4"/>
  <c r="B337" i="4"/>
  <c r="A337" i="4"/>
  <c r="H336" i="4"/>
  <c r="F336" i="4"/>
  <c r="E336" i="4"/>
  <c r="D336" i="4"/>
  <c r="G336" i="4" s="1"/>
  <c r="C336" i="4"/>
  <c r="B336" i="4"/>
  <c r="A336" i="4"/>
  <c r="F335" i="4"/>
  <c r="E335" i="4"/>
  <c r="D335" i="4"/>
  <c r="G335" i="4" s="1"/>
  <c r="C335" i="4"/>
  <c r="B335" i="4"/>
  <c r="A335" i="4"/>
  <c r="H335" i="4" s="1"/>
  <c r="H334" i="4"/>
  <c r="G334" i="4"/>
  <c r="F334" i="4"/>
  <c r="E334" i="4"/>
  <c r="D334" i="4"/>
  <c r="C334" i="4"/>
  <c r="B334" i="4"/>
  <c r="A334" i="4"/>
  <c r="H333" i="4"/>
  <c r="F333" i="4"/>
  <c r="E333" i="4"/>
  <c r="D333" i="4"/>
  <c r="G333" i="4" s="1"/>
  <c r="C333" i="4"/>
  <c r="B333" i="4"/>
  <c r="A333" i="4"/>
  <c r="F332" i="4"/>
  <c r="E332" i="4"/>
  <c r="D332" i="4"/>
  <c r="G332" i="4" s="1"/>
  <c r="C332" i="4"/>
  <c r="B332" i="4"/>
  <c r="A332" i="4"/>
  <c r="H331" i="4"/>
  <c r="G331" i="4"/>
  <c r="F331" i="4"/>
  <c r="E331" i="4"/>
  <c r="D331" i="4"/>
  <c r="C331" i="4"/>
  <c r="B331" i="4"/>
  <c r="A331" i="4"/>
  <c r="H330" i="4"/>
  <c r="G330" i="4"/>
  <c r="F330" i="4"/>
  <c r="E330" i="4"/>
  <c r="D330" i="4"/>
  <c r="C330" i="4"/>
  <c r="B330" i="4"/>
  <c r="A330" i="4"/>
  <c r="F329" i="4"/>
  <c r="E329" i="4"/>
  <c r="D329" i="4"/>
  <c r="G329" i="4" s="1"/>
  <c r="C329" i="4"/>
  <c r="B329" i="4"/>
  <c r="A329" i="4"/>
  <c r="H328" i="4"/>
  <c r="G328" i="4"/>
  <c r="F328" i="4"/>
  <c r="E328" i="4"/>
  <c r="D328" i="4"/>
  <c r="C328" i="4"/>
  <c r="B328" i="4"/>
  <c r="A328" i="4"/>
  <c r="H327" i="4"/>
  <c r="G327" i="4"/>
  <c r="F327" i="4"/>
  <c r="E327" i="4"/>
  <c r="D327" i="4"/>
  <c r="C327" i="4"/>
  <c r="B327" i="4"/>
  <c r="A327" i="4"/>
  <c r="F326" i="4"/>
  <c r="E326" i="4"/>
  <c r="D326" i="4"/>
  <c r="G326" i="4" s="1"/>
  <c r="C326" i="4"/>
  <c r="B326" i="4"/>
  <c r="A326" i="4"/>
  <c r="H326" i="4" s="1"/>
  <c r="H325" i="4"/>
  <c r="G325" i="4"/>
  <c r="F325" i="4"/>
  <c r="E325" i="4"/>
  <c r="D325" i="4"/>
  <c r="C325" i="4"/>
  <c r="B325" i="4"/>
  <c r="A325" i="4"/>
  <c r="H324" i="4"/>
  <c r="F324" i="4"/>
  <c r="E324" i="4"/>
  <c r="D324" i="4"/>
  <c r="G324" i="4" s="1"/>
  <c r="C324" i="4"/>
  <c r="B324" i="4"/>
  <c r="A324" i="4"/>
  <c r="F323" i="4"/>
  <c r="E323" i="4"/>
  <c r="D323" i="4"/>
  <c r="G323" i="4" s="1"/>
  <c r="C323" i="4"/>
  <c r="B323" i="4"/>
  <c r="A323" i="4"/>
  <c r="H323" i="4" s="1"/>
  <c r="H322" i="4"/>
  <c r="G322" i="4"/>
  <c r="F322" i="4"/>
  <c r="E322" i="4"/>
  <c r="D322" i="4"/>
  <c r="C322" i="4"/>
  <c r="B322" i="4"/>
  <c r="A322" i="4"/>
  <c r="H321" i="4"/>
  <c r="F321" i="4"/>
  <c r="E321" i="4"/>
  <c r="D321" i="4"/>
  <c r="G321" i="4" s="1"/>
  <c r="C321" i="4"/>
  <c r="B321" i="4"/>
  <c r="A321" i="4"/>
  <c r="F320" i="4"/>
  <c r="E320" i="4"/>
  <c r="D320" i="4"/>
  <c r="G320" i="4" s="1"/>
  <c r="C320" i="4"/>
  <c r="B320" i="4"/>
  <c r="A320" i="4"/>
  <c r="H320" i="4" s="1"/>
  <c r="H319" i="4"/>
  <c r="G319" i="4"/>
  <c r="F319" i="4"/>
  <c r="E319" i="4"/>
  <c r="D319" i="4"/>
  <c r="C319" i="4"/>
  <c r="B319" i="4"/>
  <c r="A319" i="4"/>
  <c r="H318" i="4"/>
  <c r="F318" i="4"/>
  <c r="E318" i="4"/>
  <c r="D318" i="4"/>
  <c r="G318" i="4" s="1"/>
  <c r="C318" i="4"/>
  <c r="B318" i="4"/>
  <c r="A318" i="4"/>
  <c r="F317" i="4"/>
  <c r="E317" i="4"/>
  <c r="D317" i="4"/>
  <c r="G317" i="4" s="1"/>
  <c r="C317" i="4"/>
  <c r="B317" i="4"/>
  <c r="A317" i="4"/>
  <c r="H317" i="4" s="1"/>
  <c r="H316" i="4"/>
  <c r="G316" i="4"/>
  <c r="F316" i="4"/>
  <c r="E316" i="4"/>
  <c r="D316" i="4"/>
  <c r="C316" i="4"/>
  <c r="B316" i="4"/>
  <c r="A316" i="4"/>
  <c r="H315" i="4"/>
  <c r="F315" i="4"/>
  <c r="E315" i="4"/>
  <c r="D315" i="4"/>
  <c r="G315" i="4" s="1"/>
  <c r="C315" i="4"/>
  <c r="B315" i="4"/>
  <c r="A315" i="4"/>
  <c r="F314" i="4"/>
  <c r="E314" i="4"/>
  <c r="D314" i="4"/>
  <c r="G314" i="4" s="1"/>
  <c r="C314" i="4"/>
  <c r="B314" i="4"/>
  <c r="A314" i="4"/>
  <c r="H313" i="4"/>
  <c r="G313" i="4"/>
  <c r="F313" i="4"/>
  <c r="E313" i="4"/>
  <c r="D313" i="4"/>
  <c r="C313" i="4"/>
  <c r="B313" i="4"/>
  <c r="A313" i="4"/>
  <c r="H312" i="4"/>
  <c r="G312" i="4"/>
  <c r="F312" i="4"/>
  <c r="E312" i="4"/>
  <c r="D312" i="4"/>
  <c r="C312" i="4"/>
  <c r="B312" i="4"/>
  <c r="A312" i="4"/>
  <c r="F311" i="4"/>
  <c r="E311" i="4"/>
  <c r="D311" i="4"/>
  <c r="G311" i="4" s="1"/>
  <c r="C311" i="4"/>
  <c r="B311" i="4"/>
  <c r="A311" i="4"/>
  <c r="H310" i="4"/>
  <c r="G310" i="4"/>
  <c r="F310" i="4"/>
  <c r="E310" i="4"/>
  <c r="D310" i="4"/>
  <c r="C310" i="4"/>
  <c r="B310" i="4"/>
  <c r="A310" i="4"/>
  <c r="H309" i="4"/>
  <c r="G309" i="4"/>
  <c r="F309" i="4"/>
  <c r="E309" i="4"/>
  <c r="D309" i="4"/>
  <c r="C309" i="4"/>
  <c r="B309" i="4"/>
  <c r="A309" i="4"/>
  <c r="F308" i="4"/>
  <c r="E308" i="4"/>
  <c r="D308" i="4"/>
  <c r="G308" i="4" s="1"/>
  <c r="C308" i="4"/>
  <c r="B308" i="4"/>
  <c r="A308" i="4"/>
  <c r="H308" i="4" s="1"/>
  <c r="H307" i="4"/>
  <c r="G307" i="4"/>
  <c r="F307" i="4"/>
  <c r="E307" i="4"/>
  <c r="D307" i="4"/>
  <c r="C307" i="4"/>
  <c r="B307" i="4"/>
  <c r="A307" i="4"/>
  <c r="H306" i="4"/>
  <c r="F306" i="4"/>
  <c r="E306" i="4"/>
  <c r="D306" i="4"/>
  <c r="G306" i="4" s="1"/>
  <c r="C306" i="4"/>
  <c r="B306" i="4"/>
  <c r="A306" i="4"/>
  <c r="F305" i="4"/>
  <c r="E305" i="4"/>
  <c r="D305" i="4"/>
  <c r="G305" i="4" s="1"/>
  <c r="C305" i="4"/>
  <c r="B305" i="4"/>
  <c r="A305" i="4"/>
  <c r="H305" i="4" s="1"/>
  <c r="H304" i="4"/>
  <c r="G304" i="4"/>
  <c r="F304" i="4"/>
  <c r="E304" i="4"/>
  <c r="D304" i="4"/>
  <c r="C304" i="4"/>
  <c r="B304" i="4"/>
  <c r="A304" i="4"/>
  <c r="H303" i="4"/>
  <c r="F303" i="4"/>
  <c r="E303" i="4"/>
  <c r="D303" i="4"/>
  <c r="G303" i="4" s="1"/>
  <c r="C303" i="4"/>
  <c r="B303" i="4"/>
  <c r="A303" i="4"/>
  <c r="F302" i="4"/>
  <c r="E302" i="4"/>
  <c r="D302" i="4"/>
  <c r="G302" i="4" s="1"/>
  <c r="C302" i="4"/>
  <c r="B302" i="4"/>
  <c r="A302" i="4"/>
  <c r="H302" i="4" s="1"/>
  <c r="H301" i="4"/>
  <c r="G301" i="4"/>
  <c r="F301" i="4"/>
  <c r="E301" i="4"/>
  <c r="D301" i="4"/>
  <c r="C301" i="4"/>
  <c r="B301" i="4"/>
  <c r="A301" i="4"/>
  <c r="H300" i="4"/>
  <c r="F300" i="4"/>
  <c r="E300" i="4"/>
  <c r="D300" i="4"/>
  <c r="G300" i="4" s="1"/>
  <c r="C300" i="4"/>
  <c r="B300" i="4"/>
  <c r="A300" i="4"/>
  <c r="F299" i="4"/>
  <c r="E299" i="4"/>
  <c r="D299" i="4"/>
  <c r="G299" i="4" s="1"/>
  <c r="C299" i="4"/>
  <c r="B299" i="4"/>
  <c r="A299" i="4"/>
  <c r="H299" i="4" s="1"/>
  <c r="H298" i="4"/>
  <c r="G298" i="4"/>
  <c r="F298" i="4"/>
  <c r="E298" i="4"/>
  <c r="D298" i="4"/>
  <c r="C298" i="4"/>
  <c r="B298" i="4"/>
  <c r="A298" i="4"/>
  <c r="H297" i="4"/>
  <c r="F297" i="4"/>
  <c r="E297" i="4"/>
  <c r="D297" i="4"/>
  <c r="G297" i="4" s="1"/>
  <c r="C297" i="4"/>
  <c r="B297" i="4"/>
  <c r="A297" i="4"/>
  <c r="F296" i="4"/>
  <c r="E296" i="4"/>
  <c r="D296" i="4"/>
  <c r="G296" i="4" s="1"/>
  <c r="C296" i="4"/>
  <c r="B296" i="4"/>
  <c r="A296" i="4"/>
  <c r="H295" i="4"/>
  <c r="G295" i="4"/>
  <c r="F295" i="4"/>
  <c r="E295" i="4"/>
  <c r="D295" i="4"/>
  <c r="C295" i="4"/>
  <c r="B295" i="4"/>
  <c r="A295" i="4"/>
  <c r="H294" i="4"/>
  <c r="G294" i="4"/>
  <c r="F294" i="4"/>
  <c r="E294" i="4"/>
  <c r="D294" i="4"/>
  <c r="C294" i="4"/>
  <c r="B294" i="4"/>
  <c r="A294" i="4"/>
  <c r="F293" i="4"/>
  <c r="E293" i="4"/>
  <c r="D293" i="4"/>
  <c r="G293" i="4" s="1"/>
  <c r="C293" i="4"/>
  <c r="B293" i="4"/>
  <c r="A293" i="4"/>
  <c r="H292" i="4"/>
  <c r="G292" i="4"/>
  <c r="F292" i="4"/>
  <c r="E292" i="4"/>
  <c r="D292" i="4"/>
  <c r="C292" i="4"/>
  <c r="B292" i="4"/>
  <c r="A292" i="4"/>
  <c r="H291" i="4"/>
  <c r="G291" i="4"/>
  <c r="F291" i="4"/>
  <c r="E291" i="4"/>
  <c r="D291" i="4"/>
  <c r="C291" i="4"/>
  <c r="B291" i="4"/>
  <c r="A291" i="4"/>
  <c r="F290" i="4"/>
  <c r="E290" i="4"/>
  <c r="D290" i="4"/>
  <c r="G290" i="4" s="1"/>
  <c r="C290" i="4"/>
  <c r="B290" i="4"/>
  <c r="A290" i="4"/>
  <c r="H290" i="4" s="1"/>
  <c r="H289" i="4"/>
  <c r="G289" i="4"/>
  <c r="F289" i="4"/>
  <c r="E289" i="4"/>
  <c r="D289" i="4"/>
  <c r="C289" i="4"/>
  <c r="B289" i="4"/>
  <c r="A289" i="4"/>
  <c r="H288" i="4"/>
  <c r="F288" i="4"/>
  <c r="E288" i="4"/>
  <c r="D288" i="4"/>
  <c r="G288" i="4" s="1"/>
  <c r="C288" i="4"/>
  <c r="B288" i="4"/>
  <c r="A288" i="4"/>
  <c r="F287" i="4"/>
  <c r="E287" i="4"/>
  <c r="D287" i="4"/>
  <c r="G287" i="4" s="1"/>
  <c r="C287" i="4"/>
  <c r="B287" i="4"/>
  <c r="A287" i="4"/>
  <c r="H287" i="4" s="1"/>
  <c r="H286" i="4"/>
  <c r="G286" i="4"/>
  <c r="F286" i="4"/>
  <c r="E286" i="4"/>
  <c r="D286" i="4"/>
  <c r="C286" i="4"/>
  <c r="B286" i="4"/>
  <c r="A286" i="4"/>
  <c r="H285" i="4"/>
  <c r="F285" i="4"/>
  <c r="E285" i="4"/>
  <c r="D285" i="4"/>
  <c r="G285" i="4" s="1"/>
  <c r="C285" i="4"/>
  <c r="B285" i="4"/>
  <c r="A285" i="4"/>
  <c r="F284" i="4"/>
  <c r="E284" i="4"/>
  <c r="D284" i="4"/>
  <c r="G284" i="4" s="1"/>
  <c r="C284" i="4"/>
  <c r="B284" i="4"/>
  <c r="A284" i="4"/>
  <c r="H284" i="4" s="1"/>
  <c r="H283" i="4"/>
  <c r="G283" i="4"/>
  <c r="F283" i="4"/>
  <c r="E283" i="4"/>
  <c r="D283" i="4"/>
  <c r="C283" i="4"/>
  <c r="B283" i="4"/>
  <c r="A283" i="4"/>
  <c r="H282" i="4"/>
  <c r="F282" i="4"/>
  <c r="E282" i="4"/>
  <c r="D282" i="4"/>
  <c r="G282" i="4" s="1"/>
  <c r="C282" i="4"/>
  <c r="B282" i="4"/>
  <c r="A282" i="4"/>
  <c r="F281" i="4"/>
  <c r="E281" i="4"/>
  <c r="D281" i="4"/>
  <c r="G281" i="4" s="1"/>
  <c r="C281" i="4"/>
  <c r="B281" i="4"/>
  <c r="A281" i="4"/>
  <c r="H281" i="4" s="1"/>
  <c r="H280" i="4"/>
  <c r="G280" i="4"/>
  <c r="F280" i="4"/>
  <c r="E280" i="4"/>
  <c r="D280" i="4"/>
  <c r="C280" i="4"/>
  <c r="B280" i="4"/>
  <c r="A280" i="4"/>
  <c r="H279" i="4"/>
  <c r="F279" i="4"/>
  <c r="E279" i="4"/>
  <c r="D279" i="4"/>
  <c r="G279" i="4" s="1"/>
  <c r="C279" i="4"/>
  <c r="B279" i="4"/>
  <c r="A279" i="4"/>
  <c r="F278" i="4"/>
  <c r="E278" i="4"/>
  <c r="D278" i="4"/>
  <c r="G278" i="4" s="1"/>
  <c r="C278" i="4"/>
  <c r="B278" i="4"/>
  <c r="A278" i="4"/>
  <c r="H277" i="4"/>
  <c r="G277" i="4"/>
  <c r="F277" i="4"/>
  <c r="E277" i="4"/>
  <c r="D277" i="4"/>
  <c r="C277" i="4"/>
  <c r="B277" i="4"/>
  <c r="A277" i="4"/>
  <c r="H276" i="4"/>
  <c r="G276" i="4"/>
  <c r="F276" i="4"/>
  <c r="E276" i="4"/>
  <c r="D276" i="4"/>
  <c r="C276" i="4"/>
  <c r="B276" i="4"/>
  <c r="A276" i="4"/>
  <c r="F275" i="4"/>
  <c r="E275" i="4"/>
  <c r="D275" i="4"/>
  <c r="G275" i="4" s="1"/>
  <c r="C275" i="4"/>
  <c r="B275" i="4"/>
  <c r="A275" i="4"/>
  <c r="H274" i="4"/>
  <c r="G274" i="4"/>
  <c r="F274" i="4"/>
  <c r="E274" i="4"/>
  <c r="D274" i="4"/>
  <c r="C274" i="4"/>
  <c r="B274" i="4"/>
  <c r="A274" i="4"/>
  <c r="H273" i="4"/>
  <c r="G273" i="4"/>
  <c r="F273" i="4"/>
  <c r="E273" i="4"/>
  <c r="D273" i="4"/>
  <c r="C273" i="4"/>
  <c r="B273" i="4"/>
  <c r="A273" i="4"/>
  <c r="F272" i="4"/>
  <c r="E272" i="4"/>
  <c r="D272" i="4"/>
  <c r="G272" i="4" s="1"/>
  <c r="C272" i="4"/>
  <c r="B272" i="4"/>
  <c r="A272" i="4"/>
  <c r="H272" i="4" s="1"/>
  <c r="H271" i="4"/>
  <c r="G271" i="4"/>
  <c r="F271" i="4"/>
  <c r="E271" i="4"/>
  <c r="D271" i="4"/>
  <c r="C271" i="4"/>
  <c r="B271" i="4"/>
  <c r="A271" i="4"/>
  <c r="H270" i="4"/>
  <c r="F270" i="4"/>
  <c r="E270" i="4"/>
  <c r="D270" i="4"/>
  <c r="G270" i="4" s="1"/>
  <c r="C270" i="4"/>
  <c r="B270" i="4"/>
  <c r="A270" i="4"/>
  <c r="F269" i="4"/>
  <c r="E269" i="4"/>
  <c r="D269" i="4"/>
  <c r="G269" i="4" s="1"/>
  <c r="C269" i="4"/>
  <c r="B269" i="4"/>
  <c r="A269" i="4"/>
  <c r="H269" i="4" s="1"/>
  <c r="H268" i="4"/>
  <c r="G268" i="4"/>
  <c r="F268" i="4"/>
  <c r="E268" i="4"/>
  <c r="D268" i="4"/>
  <c r="C268" i="4"/>
  <c r="B268" i="4"/>
  <c r="A268" i="4"/>
  <c r="H267" i="4"/>
  <c r="F267" i="4"/>
  <c r="E267" i="4"/>
  <c r="D267" i="4"/>
  <c r="G267" i="4" s="1"/>
  <c r="C267" i="4"/>
  <c r="B267" i="4"/>
  <c r="A267" i="4"/>
  <c r="F266" i="4"/>
  <c r="E266" i="4"/>
  <c r="D266" i="4"/>
  <c r="G266" i="4" s="1"/>
  <c r="C266" i="4"/>
  <c r="B266" i="4"/>
  <c r="A266" i="4"/>
  <c r="H266" i="4" s="1"/>
  <c r="H265" i="4"/>
  <c r="G265" i="4"/>
  <c r="F265" i="4"/>
  <c r="E265" i="4"/>
  <c r="D265" i="4"/>
  <c r="C265" i="4"/>
  <c r="B265" i="4"/>
  <c r="A265" i="4"/>
  <c r="H264" i="4"/>
  <c r="F264" i="4"/>
  <c r="E264" i="4"/>
  <c r="D264" i="4"/>
  <c r="G264" i="4" s="1"/>
  <c r="C264" i="4"/>
  <c r="B264" i="4"/>
  <c r="A264" i="4"/>
  <c r="F263" i="4"/>
  <c r="E263" i="4"/>
  <c r="D263" i="4"/>
  <c r="G263" i="4" s="1"/>
  <c r="C263" i="4"/>
  <c r="B263" i="4"/>
  <c r="A263" i="4"/>
  <c r="H263" i="4" s="1"/>
  <c r="H262" i="4"/>
  <c r="G262" i="4"/>
  <c r="F262" i="4"/>
  <c r="E262" i="4"/>
  <c r="D262" i="4"/>
  <c r="C262" i="4"/>
  <c r="B262" i="4"/>
  <c r="A262" i="4"/>
  <c r="H261" i="4"/>
  <c r="F261" i="4"/>
  <c r="E261" i="4"/>
  <c r="D261" i="4"/>
  <c r="G261" i="4" s="1"/>
  <c r="C261" i="4"/>
  <c r="B261" i="4"/>
  <c r="A261" i="4"/>
  <c r="F260" i="4"/>
  <c r="E260" i="4"/>
  <c r="D260" i="4"/>
  <c r="G260" i="4" s="1"/>
  <c r="C260" i="4"/>
  <c r="B260" i="4"/>
  <c r="A260" i="4"/>
  <c r="H259" i="4"/>
  <c r="G259" i="4"/>
  <c r="F259" i="4"/>
  <c r="E259" i="4"/>
  <c r="D259" i="4"/>
  <c r="C259" i="4"/>
  <c r="B259" i="4"/>
  <c r="A259" i="4"/>
  <c r="H258" i="4"/>
  <c r="G258" i="4"/>
  <c r="F258" i="4"/>
  <c r="E258" i="4"/>
  <c r="D258" i="4"/>
  <c r="C258" i="4"/>
  <c r="B258" i="4"/>
  <c r="A258" i="4"/>
  <c r="F257" i="4"/>
  <c r="E257" i="4"/>
  <c r="D257" i="4"/>
  <c r="G257" i="4" s="1"/>
  <c r="C257" i="4"/>
  <c r="B257" i="4"/>
  <c r="A257" i="4"/>
  <c r="H256" i="4"/>
  <c r="G256" i="4"/>
  <c r="F256" i="4"/>
  <c r="E256" i="4"/>
  <c r="D256" i="4"/>
  <c r="C256" i="4"/>
  <c r="B256" i="4"/>
  <c r="A256" i="4"/>
  <c r="H255" i="4"/>
  <c r="G255" i="4"/>
  <c r="F255" i="4"/>
  <c r="E255" i="4"/>
  <c r="D255" i="4"/>
  <c r="C255" i="4"/>
  <c r="B255" i="4"/>
  <c r="A255" i="4"/>
  <c r="F254" i="4"/>
  <c r="E254" i="4"/>
  <c r="D254" i="4"/>
  <c r="G254" i="4" s="1"/>
  <c r="C254" i="4"/>
  <c r="B254" i="4"/>
  <c r="A254" i="4"/>
  <c r="H254" i="4" s="1"/>
  <c r="H253" i="4"/>
  <c r="G253" i="4"/>
  <c r="F253" i="4"/>
  <c r="E253" i="4"/>
  <c r="D253" i="4"/>
  <c r="C253" i="4"/>
  <c r="B253" i="4"/>
  <c r="A253" i="4"/>
  <c r="H252" i="4"/>
  <c r="F252" i="4"/>
  <c r="E252" i="4"/>
  <c r="D252" i="4"/>
  <c r="G252" i="4" s="1"/>
  <c r="C252" i="4"/>
  <c r="B252" i="4"/>
  <c r="A252" i="4"/>
  <c r="F251" i="4"/>
  <c r="E251" i="4"/>
  <c r="D251" i="4"/>
  <c r="G251" i="4" s="1"/>
  <c r="C251" i="4"/>
  <c r="B251" i="4"/>
  <c r="A251" i="4"/>
  <c r="H251" i="4" s="1"/>
  <c r="H250" i="4"/>
  <c r="G250" i="4"/>
  <c r="F250" i="4"/>
  <c r="E250" i="4"/>
  <c r="D250" i="4"/>
  <c r="C250" i="4"/>
  <c r="B250" i="4"/>
  <c r="A250" i="4"/>
  <c r="H249" i="4"/>
  <c r="F249" i="4"/>
  <c r="E249" i="4"/>
  <c r="D249" i="4"/>
  <c r="G249" i="4" s="1"/>
  <c r="C249" i="4"/>
  <c r="B249" i="4"/>
  <c r="A249" i="4"/>
  <c r="F248" i="4"/>
  <c r="E248" i="4"/>
  <c r="D248" i="4"/>
  <c r="G248" i="4" s="1"/>
  <c r="C248" i="4"/>
  <c r="B248" i="4"/>
  <c r="A248" i="4"/>
  <c r="H248" i="4" s="1"/>
  <c r="H247" i="4"/>
  <c r="G247" i="4"/>
  <c r="F247" i="4"/>
  <c r="E247" i="4"/>
  <c r="D247" i="4"/>
  <c r="C247" i="4"/>
  <c r="B247" i="4"/>
  <c r="A247" i="4"/>
  <c r="H246" i="4"/>
  <c r="F246" i="4"/>
  <c r="E246" i="4"/>
  <c r="D246" i="4"/>
  <c r="G246" i="4" s="1"/>
  <c r="C246" i="4"/>
  <c r="B246" i="4"/>
  <c r="A246" i="4"/>
  <c r="F245" i="4"/>
  <c r="E245" i="4"/>
  <c r="D245" i="4"/>
  <c r="G245" i="4" s="1"/>
  <c r="C245" i="4"/>
  <c r="B245" i="4"/>
  <c r="A245" i="4"/>
  <c r="H245" i="4" s="1"/>
  <c r="H244" i="4"/>
  <c r="G244" i="4"/>
  <c r="F244" i="4"/>
  <c r="E244" i="4"/>
  <c r="D244" i="4"/>
  <c r="C244" i="4"/>
  <c r="B244" i="4"/>
  <c r="A244" i="4"/>
  <c r="H243" i="4"/>
  <c r="F243" i="4"/>
  <c r="E243" i="4"/>
  <c r="D243" i="4"/>
  <c r="G243" i="4" s="1"/>
  <c r="C243" i="4"/>
  <c r="B243" i="4"/>
  <c r="A243" i="4"/>
  <c r="F242" i="4"/>
  <c r="E242" i="4"/>
  <c r="D242" i="4"/>
  <c r="G242" i="4" s="1"/>
  <c r="C242" i="4"/>
  <c r="B242" i="4"/>
  <c r="A242" i="4"/>
  <c r="H241" i="4"/>
  <c r="G241" i="4"/>
  <c r="F241" i="4"/>
  <c r="E241" i="4"/>
  <c r="D241" i="4"/>
  <c r="C241" i="4"/>
  <c r="B241" i="4"/>
  <c r="A241" i="4"/>
  <c r="H240" i="4"/>
  <c r="G240" i="4"/>
  <c r="F240" i="4"/>
  <c r="E240" i="4"/>
  <c r="D240" i="4"/>
  <c r="C240" i="4"/>
  <c r="B240" i="4"/>
  <c r="A240" i="4"/>
  <c r="F239" i="4"/>
  <c r="E239" i="4"/>
  <c r="D239" i="4"/>
  <c r="G239" i="4" s="1"/>
  <c r="C239" i="4"/>
  <c r="B239" i="4"/>
  <c r="A239" i="4"/>
  <c r="H238" i="4"/>
  <c r="G238" i="4"/>
  <c r="F238" i="4"/>
  <c r="E238" i="4"/>
  <c r="D238" i="4"/>
  <c r="C238" i="4"/>
  <c r="B238" i="4"/>
  <c r="A238" i="4"/>
  <c r="H237" i="4"/>
  <c r="G237" i="4"/>
  <c r="F237" i="4"/>
  <c r="E237" i="4"/>
  <c r="D237" i="4"/>
  <c r="C237" i="4"/>
  <c r="B237" i="4"/>
  <c r="A237" i="4"/>
  <c r="F236" i="4"/>
  <c r="E236" i="4"/>
  <c r="D236" i="4"/>
  <c r="G236" i="4" s="1"/>
  <c r="C236" i="4"/>
  <c r="B236" i="4"/>
  <c r="A236" i="4"/>
  <c r="H236" i="4" s="1"/>
  <c r="H235" i="4"/>
  <c r="G235" i="4"/>
  <c r="F235" i="4"/>
  <c r="E235" i="4"/>
  <c r="D235" i="4"/>
  <c r="C235" i="4"/>
  <c r="B235" i="4"/>
  <c r="A235" i="4"/>
  <c r="H234" i="4"/>
  <c r="F234" i="4"/>
  <c r="E234" i="4"/>
  <c r="D234" i="4"/>
  <c r="G234" i="4" s="1"/>
  <c r="C234" i="4"/>
  <c r="B234" i="4"/>
  <c r="A234" i="4"/>
  <c r="F233" i="4"/>
  <c r="E233" i="4"/>
  <c r="D233" i="4"/>
  <c r="G233" i="4" s="1"/>
  <c r="C233" i="4"/>
  <c r="B233" i="4"/>
  <c r="A233" i="4"/>
  <c r="H233" i="4" s="1"/>
  <c r="H232" i="4"/>
  <c r="G232" i="4"/>
  <c r="F232" i="4"/>
  <c r="E232" i="4"/>
  <c r="D232" i="4"/>
  <c r="C232" i="4"/>
  <c r="B232" i="4"/>
  <c r="A232" i="4"/>
  <c r="H231" i="4"/>
  <c r="F231" i="4"/>
  <c r="E231" i="4"/>
  <c r="D231" i="4"/>
  <c r="G231" i="4" s="1"/>
  <c r="C231" i="4"/>
  <c r="B231" i="4"/>
  <c r="A231" i="4"/>
  <c r="F230" i="4"/>
  <c r="E230" i="4"/>
  <c r="D230" i="4"/>
  <c r="G230" i="4" s="1"/>
  <c r="C230" i="4"/>
  <c r="B230" i="4"/>
  <c r="A230" i="4"/>
  <c r="H230" i="4" s="1"/>
  <c r="H229" i="4"/>
  <c r="G229" i="4"/>
  <c r="F229" i="4"/>
  <c r="E229" i="4"/>
  <c r="D229" i="4"/>
  <c r="C229" i="4"/>
  <c r="B229" i="4"/>
  <c r="A229" i="4"/>
  <c r="H228" i="4"/>
  <c r="F228" i="4"/>
  <c r="E228" i="4"/>
  <c r="D228" i="4"/>
  <c r="G228" i="4" s="1"/>
  <c r="C228" i="4"/>
  <c r="B228" i="4"/>
  <c r="A228" i="4"/>
  <c r="F227" i="4"/>
  <c r="E227" i="4"/>
  <c r="D227" i="4"/>
  <c r="G227" i="4" s="1"/>
  <c r="C227" i="4"/>
  <c r="B227" i="4"/>
  <c r="A227" i="4"/>
  <c r="H227" i="4" s="1"/>
  <c r="H226" i="4"/>
  <c r="G226" i="4"/>
  <c r="F226" i="4"/>
  <c r="E226" i="4"/>
  <c r="D226" i="4"/>
  <c r="C226" i="4"/>
  <c r="B226" i="4"/>
  <c r="A226" i="4"/>
  <c r="H225" i="4"/>
  <c r="F225" i="4"/>
  <c r="E225" i="4"/>
  <c r="D225" i="4"/>
  <c r="G225" i="4" s="1"/>
  <c r="C225" i="4"/>
  <c r="B225" i="4"/>
  <c r="A225" i="4"/>
  <c r="F224" i="4"/>
  <c r="E224" i="4"/>
  <c r="D224" i="4"/>
  <c r="G224" i="4" s="1"/>
  <c r="C224" i="4"/>
  <c r="B224" i="4"/>
  <c r="A224" i="4"/>
  <c r="H223" i="4"/>
  <c r="G223" i="4"/>
  <c r="F223" i="4"/>
  <c r="E223" i="4"/>
  <c r="D223" i="4"/>
  <c r="C223" i="4"/>
  <c r="B223" i="4"/>
  <c r="A223" i="4"/>
  <c r="H222" i="4"/>
  <c r="G222" i="4"/>
  <c r="F222" i="4"/>
  <c r="E222" i="4"/>
  <c r="D222" i="4"/>
  <c r="C222" i="4"/>
  <c r="B222" i="4"/>
  <c r="A222" i="4"/>
  <c r="F221" i="4"/>
  <c r="E221" i="4"/>
  <c r="D221" i="4"/>
  <c r="G221" i="4" s="1"/>
  <c r="C221" i="4"/>
  <c r="B221" i="4"/>
  <c r="A221" i="4"/>
  <c r="H220" i="4"/>
  <c r="G220" i="4"/>
  <c r="F220" i="4"/>
  <c r="E220" i="4"/>
  <c r="D220" i="4"/>
  <c r="C220" i="4"/>
  <c r="B220" i="4"/>
  <c r="A220" i="4"/>
  <c r="H219" i="4"/>
  <c r="G219" i="4"/>
  <c r="F219" i="4"/>
  <c r="E219" i="4"/>
  <c r="D219" i="4"/>
  <c r="C219" i="4"/>
  <c r="B219" i="4"/>
  <c r="A219" i="4"/>
  <c r="F218" i="4"/>
  <c r="E218" i="4"/>
  <c r="D218" i="4"/>
  <c r="G218" i="4" s="1"/>
  <c r="C218" i="4"/>
  <c r="B218" i="4"/>
  <c r="A218" i="4"/>
  <c r="H218" i="4" s="1"/>
  <c r="H217" i="4"/>
  <c r="G217" i="4"/>
  <c r="F217" i="4"/>
  <c r="E217" i="4"/>
  <c r="D217" i="4"/>
  <c r="C217" i="4"/>
  <c r="B217" i="4"/>
  <c r="A217" i="4"/>
  <c r="H216" i="4"/>
  <c r="F216" i="4"/>
  <c r="E216" i="4"/>
  <c r="G216" i="4" s="1"/>
  <c r="D216" i="4"/>
  <c r="C216" i="4"/>
  <c r="B216" i="4"/>
  <c r="A216" i="4"/>
  <c r="F215" i="4"/>
  <c r="E215" i="4"/>
  <c r="D215" i="4"/>
  <c r="G215" i="4" s="1"/>
  <c r="C215" i="4"/>
  <c r="B215" i="4"/>
  <c r="A215" i="4"/>
  <c r="H215" i="4" s="1"/>
  <c r="H214" i="4"/>
  <c r="G214" i="4"/>
  <c r="F214" i="4"/>
  <c r="E214" i="4"/>
  <c r="D214" i="4"/>
  <c r="C214" i="4"/>
  <c r="B214" i="4"/>
  <c r="A214" i="4"/>
  <c r="H213" i="4"/>
  <c r="F213" i="4"/>
  <c r="E213" i="4"/>
  <c r="D213" i="4"/>
  <c r="G213" i="4" s="1"/>
  <c r="C213" i="4"/>
  <c r="B213" i="4"/>
  <c r="A213" i="4"/>
  <c r="F212" i="4"/>
  <c r="E212" i="4"/>
  <c r="D212" i="4"/>
  <c r="G212" i="4" s="1"/>
  <c r="C212" i="4"/>
  <c r="B212" i="4"/>
  <c r="A212" i="4"/>
  <c r="H212" i="4" s="1"/>
  <c r="H211" i="4"/>
  <c r="G211" i="4"/>
  <c r="F211" i="4"/>
  <c r="E211" i="4"/>
  <c r="D211" i="4"/>
  <c r="C211" i="4"/>
  <c r="B211" i="4"/>
  <c r="A211" i="4"/>
  <c r="H210" i="4"/>
  <c r="F210" i="4"/>
  <c r="E210" i="4"/>
  <c r="D210" i="4"/>
  <c r="G210" i="4" s="1"/>
  <c r="C210" i="4"/>
  <c r="B210" i="4"/>
  <c r="A210" i="4"/>
  <c r="F209" i="4"/>
  <c r="E209" i="4"/>
  <c r="D209" i="4"/>
  <c r="G209" i="4" s="1"/>
  <c r="C209" i="4"/>
  <c r="B209" i="4"/>
  <c r="A209" i="4"/>
  <c r="H209" i="4" s="1"/>
  <c r="H208" i="4"/>
  <c r="G208" i="4"/>
  <c r="F208" i="4"/>
  <c r="E208" i="4"/>
  <c r="D208" i="4"/>
  <c r="C208" i="4"/>
  <c r="B208" i="4"/>
  <c r="A208" i="4"/>
  <c r="H207" i="4"/>
  <c r="F207" i="4"/>
  <c r="E207" i="4"/>
  <c r="D207" i="4"/>
  <c r="G207" i="4" s="1"/>
  <c r="C207" i="4"/>
  <c r="B207" i="4"/>
  <c r="A207" i="4"/>
  <c r="F206" i="4"/>
  <c r="E206" i="4"/>
  <c r="D206" i="4"/>
  <c r="G206" i="4" s="1"/>
  <c r="C206" i="4"/>
  <c r="B206" i="4"/>
  <c r="A206" i="4"/>
  <c r="H206" i="4" s="1"/>
  <c r="H205" i="4"/>
  <c r="G205" i="4"/>
  <c r="F205" i="4"/>
  <c r="E205" i="4"/>
  <c r="D205" i="4"/>
  <c r="C205" i="4"/>
  <c r="B205" i="4"/>
  <c r="A205" i="4"/>
  <c r="H204" i="4"/>
  <c r="F204" i="4"/>
  <c r="E204" i="4"/>
  <c r="D204" i="4"/>
  <c r="G204" i="4" s="1"/>
  <c r="C204" i="4"/>
  <c r="B204" i="4"/>
  <c r="A204" i="4"/>
  <c r="F203" i="4"/>
  <c r="E203" i="4"/>
  <c r="D203" i="4"/>
  <c r="G203" i="4" s="1"/>
  <c r="C203" i="4"/>
  <c r="B203" i="4"/>
  <c r="A203" i="4"/>
  <c r="H202" i="4"/>
  <c r="G202" i="4"/>
  <c r="F202" i="4"/>
  <c r="E202" i="4"/>
  <c r="D202" i="4"/>
  <c r="C202" i="4"/>
  <c r="B202" i="4"/>
  <c r="A202" i="4"/>
  <c r="H201" i="4"/>
  <c r="G201" i="4"/>
  <c r="F201" i="4"/>
  <c r="E201" i="4"/>
  <c r="D201" i="4"/>
  <c r="C201" i="4"/>
  <c r="B201" i="4"/>
  <c r="A201" i="4"/>
  <c r="F200" i="4"/>
  <c r="E200" i="4"/>
  <c r="D200" i="4"/>
  <c r="G200" i="4" s="1"/>
  <c r="C200" i="4"/>
  <c r="B200" i="4"/>
  <c r="A200" i="4"/>
  <c r="H200" i="4" s="1"/>
  <c r="H199" i="4"/>
  <c r="G199" i="4"/>
  <c r="F199" i="4"/>
  <c r="E199" i="4"/>
  <c r="D199" i="4"/>
  <c r="C199" i="4"/>
  <c r="B199" i="4"/>
  <c r="A199" i="4"/>
  <c r="H198" i="4"/>
  <c r="F198" i="4"/>
  <c r="E198" i="4"/>
  <c r="G198" i="4" s="1"/>
  <c r="D198" i="4"/>
  <c r="C198" i="4"/>
  <c r="B198" i="4"/>
  <c r="A198" i="4"/>
  <c r="F197" i="4"/>
  <c r="E197" i="4"/>
  <c r="D197" i="4"/>
  <c r="G197" i="4" s="1"/>
  <c r="C197" i="4"/>
  <c r="B197" i="4"/>
  <c r="A197" i="4"/>
  <c r="H197" i="4" s="1"/>
  <c r="H196" i="4"/>
  <c r="G196" i="4"/>
  <c r="F196" i="4"/>
  <c r="E196" i="4"/>
  <c r="D196" i="4"/>
  <c r="C196" i="4"/>
  <c r="B196" i="4"/>
  <c r="A196" i="4"/>
  <c r="H195" i="4"/>
  <c r="F195" i="4"/>
  <c r="E195" i="4"/>
  <c r="D195" i="4"/>
  <c r="G195" i="4" s="1"/>
  <c r="C195" i="4"/>
  <c r="B195" i="4"/>
  <c r="A195" i="4"/>
  <c r="F194" i="4"/>
  <c r="E194" i="4"/>
  <c r="D194" i="4"/>
  <c r="G194" i="4" s="1"/>
  <c r="C194" i="4"/>
  <c r="B194" i="4"/>
  <c r="A194" i="4"/>
  <c r="H194" i="4" s="1"/>
  <c r="H193" i="4"/>
  <c r="G193" i="4"/>
  <c r="F193" i="4"/>
  <c r="E193" i="4"/>
  <c r="D193" i="4"/>
  <c r="C193" i="4"/>
  <c r="B193" i="4"/>
  <c r="A193" i="4"/>
  <c r="H192" i="4"/>
  <c r="F192" i="4"/>
  <c r="E192" i="4"/>
  <c r="D192" i="4"/>
  <c r="G192" i="4" s="1"/>
  <c r="C192" i="4"/>
  <c r="B192" i="4"/>
  <c r="A192" i="4"/>
  <c r="F191" i="4"/>
  <c r="E191" i="4"/>
  <c r="D191" i="4"/>
  <c r="G191" i="4" s="1"/>
  <c r="C191" i="4"/>
  <c r="B191" i="4"/>
  <c r="A191" i="4"/>
  <c r="H191" i="4" s="1"/>
  <c r="H190" i="4"/>
  <c r="G190" i="4"/>
  <c r="F190" i="4"/>
  <c r="E190" i="4"/>
  <c r="D190" i="4"/>
  <c r="C190" i="4"/>
  <c r="B190" i="4"/>
  <c r="A190" i="4"/>
  <c r="H189" i="4"/>
  <c r="F189" i="4"/>
  <c r="E189" i="4"/>
  <c r="D189" i="4"/>
  <c r="G189" i="4" s="1"/>
  <c r="C189" i="4"/>
  <c r="B189" i="4"/>
  <c r="A189" i="4"/>
  <c r="F188" i="4"/>
  <c r="E188" i="4"/>
  <c r="D188" i="4"/>
  <c r="G188" i="4" s="1"/>
  <c r="C188" i="4"/>
  <c r="B188" i="4"/>
  <c r="A188" i="4"/>
  <c r="H188" i="4" s="1"/>
  <c r="H187" i="4"/>
  <c r="G187" i="4"/>
  <c r="F187" i="4"/>
  <c r="E187" i="4"/>
  <c r="D187" i="4"/>
  <c r="C187" i="4"/>
  <c r="B187" i="4"/>
  <c r="A187" i="4"/>
  <c r="H186" i="4"/>
  <c r="F186" i="4"/>
  <c r="E186" i="4"/>
  <c r="D186" i="4"/>
  <c r="G186" i="4" s="1"/>
  <c r="C186" i="4"/>
  <c r="B186" i="4"/>
  <c r="A186" i="4"/>
  <c r="F185" i="4"/>
  <c r="E185" i="4"/>
  <c r="D185" i="4"/>
  <c r="G185" i="4" s="1"/>
  <c r="C185" i="4"/>
  <c r="B185" i="4"/>
  <c r="A185" i="4"/>
  <c r="H184" i="4"/>
  <c r="G184" i="4"/>
  <c r="F184" i="4"/>
  <c r="E184" i="4"/>
  <c r="D184" i="4"/>
  <c r="C184" i="4"/>
  <c r="B184" i="4"/>
  <c r="A184" i="4"/>
  <c r="H183" i="4"/>
  <c r="G183" i="4"/>
  <c r="F183" i="4"/>
  <c r="E183" i="4"/>
  <c r="D183" i="4"/>
  <c r="C183" i="4"/>
  <c r="B183" i="4"/>
  <c r="A183" i="4"/>
  <c r="F182" i="4"/>
  <c r="E182" i="4"/>
  <c r="D182" i="4"/>
  <c r="G182" i="4" s="1"/>
  <c r="C182" i="4"/>
  <c r="B182" i="4"/>
  <c r="A182" i="4"/>
  <c r="H182" i="4" s="1"/>
  <c r="H181" i="4"/>
  <c r="G181" i="4"/>
  <c r="F181" i="4"/>
  <c r="E181" i="4"/>
  <c r="D181" i="4"/>
  <c r="C181" i="4"/>
  <c r="B181" i="4"/>
  <c r="A181" i="4"/>
  <c r="H180" i="4"/>
  <c r="F180" i="4"/>
  <c r="E180" i="4"/>
  <c r="G180" i="4" s="1"/>
  <c r="D180" i="4"/>
  <c r="C180" i="4"/>
  <c r="B180" i="4"/>
  <c r="A180" i="4"/>
  <c r="F179" i="4"/>
  <c r="E179" i="4"/>
  <c r="D179" i="4"/>
  <c r="G179" i="4" s="1"/>
  <c r="C179" i="4"/>
  <c r="B179" i="4"/>
  <c r="A179" i="4"/>
  <c r="H179" i="4" s="1"/>
  <c r="H178" i="4"/>
  <c r="G178" i="4"/>
  <c r="F178" i="4"/>
  <c r="E178" i="4"/>
  <c r="D178" i="4"/>
  <c r="C178" i="4"/>
  <c r="B178" i="4"/>
  <c r="A178" i="4"/>
  <c r="H177" i="4"/>
  <c r="F177" i="4"/>
  <c r="E177" i="4"/>
  <c r="D177" i="4"/>
  <c r="G177" i="4" s="1"/>
  <c r="C177" i="4"/>
  <c r="B177" i="4"/>
  <c r="A177" i="4"/>
  <c r="F176" i="4"/>
  <c r="E176" i="4"/>
  <c r="D176" i="4"/>
  <c r="G176" i="4" s="1"/>
  <c r="C176" i="4"/>
  <c r="B176" i="4"/>
  <c r="A176" i="4"/>
  <c r="H176" i="4" s="1"/>
  <c r="H175" i="4"/>
  <c r="G175" i="4"/>
  <c r="F175" i="4"/>
  <c r="E175" i="4"/>
  <c r="D175" i="4"/>
  <c r="C175" i="4"/>
  <c r="B175" i="4"/>
  <c r="A175" i="4"/>
  <c r="H174" i="4"/>
  <c r="F174" i="4"/>
  <c r="E174" i="4"/>
  <c r="D174" i="4"/>
  <c r="G174" i="4" s="1"/>
  <c r="C174" i="4"/>
  <c r="B174" i="4"/>
  <c r="A174" i="4"/>
  <c r="F173" i="4"/>
  <c r="E173" i="4"/>
  <c r="D173" i="4"/>
  <c r="G173" i="4" s="1"/>
  <c r="C173" i="4"/>
  <c r="B173" i="4"/>
  <c r="A173" i="4"/>
  <c r="H173" i="4" s="1"/>
  <c r="H172" i="4"/>
  <c r="G172" i="4"/>
  <c r="F172" i="4"/>
  <c r="E172" i="4"/>
  <c r="D172" i="4"/>
  <c r="C172" i="4"/>
  <c r="B172" i="4"/>
  <c r="A172" i="4"/>
  <c r="H171" i="4"/>
  <c r="F171" i="4"/>
  <c r="E171" i="4"/>
  <c r="D171" i="4"/>
  <c r="G171" i="4" s="1"/>
  <c r="C171" i="4"/>
  <c r="B171" i="4"/>
  <c r="A171" i="4"/>
  <c r="F170" i="4"/>
  <c r="E170" i="4"/>
  <c r="D170" i="4"/>
  <c r="G170" i="4" s="1"/>
  <c r="C170" i="4"/>
  <c r="B170" i="4"/>
  <c r="A170" i="4"/>
  <c r="H170" i="4" s="1"/>
  <c r="H169" i="4"/>
  <c r="G169" i="4"/>
  <c r="F169" i="4"/>
  <c r="E169" i="4"/>
  <c r="D169" i="4"/>
  <c r="C169" i="4"/>
  <c r="B169" i="4"/>
  <c r="A169" i="4"/>
  <c r="H168" i="4"/>
  <c r="F168" i="4"/>
  <c r="E168" i="4"/>
  <c r="D168" i="4"/>
  <c r="G168" i="4" s="1"/>
  <c r="C168" i="4"/>
  <c r="B168" i="4"/>
  <c r="A168" i="4"/>
  <c r="F167" i="4"/>
  <c r="E167" i="4"/>
  <c r="D167" i="4"/>
  <c r="G167" i="4" s="1"/>
  <c r="C167" i="4"/>
  <c r="B167" i="4"/>
  <c r="A167" i="4"/>
  <c r="H166" i="4"/>
  <c r="G166" i="4"/>
  <c r="F166" i="4"/>
  <c r="E166" i="4"/>
  <c r="D166" i="4"/>
  <c r="C166" i="4"/>
  <c r="B166" i="4"/>
  <c r="A166" i="4"/>
  <c r="H165" i="4"/>
  <c r="G165" i="4"/>
  <c r="F165" i="4"/>
  <c r="E165" i="4"/>
  <c r="D165" i="4"/>
  <c r="C165" i="4"/>
  <c r="B165" i="4"/>
  <c r="A165" i="4"/>
  <c r="F164" i="4"/>
  <c r="E164" i="4"/>
  <c r="D164" i="4"/>
  <c r="G164" i="4" s="1"/>
  <c r="C164" i="4"/>
  <c r="B164" i="4"/>
  <c r="A164" i="4"/>
  <c r="H164" i="4" s="1"/>
  <c r="H163" i="4"/>
  <c r="G163" i="4"/>
  <c r="F163" i="4"/>
  <c r="E163" i="4"/>
  <c r="D163" i="4"/>
  <c r="C163" i="4"/>
  <c r="B163" i="4"/>
  <c r="A163" i="4"/>
  <c r="H162" i="4"/>
  <c r="F162" i="4"/>
  <c r="E162" i="4"/>
  <c r="G162" i="4" s="1"/>
  <c r="D162" i="4"/>
  <c r="C162" i="4"/>
  <c r="B162" i="4"/>
  <c r="A162" i="4"/>
  <c r="F161" i="4"/>
  <c r="E161" i="4"/>
  <c r="D161" i="4"/>
  <c r="G161" i="4" s="1"/>
  <c r="C161" i="4"/>
  <c r="B161" i="4"/>
  <c r="A161" i="4"/>
  <c r="H161" i="4" s="1"/>
  <c r="H160" i="4"/>
  <c r="G160" i="4"/>
  <c r="F160" i="4"/>
  <c r="E160" i="4"/>
  <c r="D160" i="4"/>
  <c r="C160" i="4"/>
  <c r="B160" i="4"/>
  <c r="A160" i="4"/>
  <c r="H159" i="4"/>
  <c r="F159" i="4"/>
  <c r="E159" i="4"/>
  <c r="D159" i="4"/>
  <c r="G159" i="4" s="1"/>
  <c r="C159" i="4"/>
  <c r="B159" i="4"/>
  <c r="A159" i="4"/>
  <c r="F158" i="4"/>
  <c r="E158" i="4"/>
  <c r="D158" i="4"/>
  <c r="G158" i="4" s="1"/>
  <c r="C158" i="4"/>
  <c r="B158" i="4"/>
  <c r="A158" i="4"/>
  <c r="H158" i="4" s="1"/>
  <c r="H157" i="4"/>
  <c r="G157" i="4"/>
  <c r="F157" i="4"/>
  <c r="E157" i="4"/>
  <c r="D157" i="4"/>
  <c r="C157" i="4"/>
  <c r="B157" i="4"/>
  <c r="A157" i="4"/>
  <c r="H156" i="4"/>
  <c r="F156" i="4"/>
  <c r="E156" i="4"/>
  <c r="D156" i="4"/>
  <c r="G156" i="4" s="1"/>
  <c r="C156" i="4"/>
  <c r="B156" i="4"/>
  <c r="A156" i="4"/>
  <c r="F155" i="4"/>
  <c r="E155" i="4"/>
  <c r="D155" i="4"/>
  <c r="G155" i="4" s="1"/>
  <c r="C155" i="4"/>
  <c r="B155" i="4"/>
  <c r="A155" i="4"/>
  <c r="H155" i="4" s="1"/>
  <c r="H154" i="4"/>
  <c r="G154" i="4"/>
  <c r="F154" i="4"/>
  <c r="E154" i="4"/>
  <c r="D154" i="4"/>
  <c r="C154" i="4"/>
  <c r="B154" i="4"/>
  <c r="A154" i="4"/>
  <c r="H153" i="4"/>
  <c r="F153" i="4"/>
  <c r="E153" i="4"/>
  <c r="D153" i="4"/>
  <c r="G153" i="4" s="1"/>
  <c r="C153" i="4"/>
  <c r="B153" i="4"/>
  <c r="A153" i="4"/>
  <c r="F152" i="4"/>
  <c r="E152" i="4"/>
  <c r="D152" i="4"/>
  <c r="G152" i="4" s="1"/>
  <c r="C152" i="4"/>
  <c r="B152" i="4"/>
  <c r="A152" i="4"/>
  <c r="H152" i="4" s="1"/>
  <c r="H151" i="4"/>
  <c r="G151" i="4"/>
  <c r="F151" i="4"/>
  <c r="E151" i="4"/>
  <c r="D151" i="4"/>
  <c r="C151" i="4"/>
  <c r="B151" i="4"/>
  <c r="A151" i="4"/>
  <c r="H150" i="4"/>
  <c r="F150" i="4"/>
  <c r="E150" i="4"/>
  <c r="D150" i="4"/>
  <c r="G150" i="4" s="1"/>
  <c r="C150" i="4"/>
  <c r="B150" i="4"/>
  <c r="A150" i="4"/>
  <c r="F149" i="4"/>
  <c r="E149" i="4"/>
  <c r="D149" i="4"/>
  <c r="G149" i="4" s="1"/>
  <c r="C149" i="4"/>
  <c r="B149" i="4"/>
  <c r="A149" i="4"/>
  <c r="H148" i="4"/>
  <c r="G148" i="4"/>
  <c r="F148" i="4"/>
  <c r="E148" i="4"/>
  <c r="D148" i="4"/>
  <c r="C148" i="4"/>
  <c r="B148" i="4"/>
  <c r="A148" i="4"/>
  <c r="H147" i="4"/>
  <c r="G147" i="4"/>
  <c r="F147" i="4"/>
  <c r="E147" i="4"/>
  <c r="D147" i="4"/>
  <c r="C147" i="4"/>
  <c r="B147" i="4"/>
  <c r="A147" i="4"/>
  <c r="F146" i="4"/>
  <c r="E146" i="4"/>
  <c r="D146" i="4"/>
  <c r="G146" i="4" s="1"/>
  <c r="C146" i="4"/>
  <c r="B146" i="4"/>
  <c r="A146" i="4"/>
  <c r="H146" i="4" s="1"/>
  <c r="H145" i="4"/>
  <c r="G145" i="4"/>
  <c r="F145" i="4"/>
  <c r="E145" i="4"/>
  <c r="D145" i="4"/>
  <c r="C145" i="4"/>
  <c r="B145" i="4"/>
  <c r="A145" i="4"/>
  <c r="H144" i="4"/>
  <c r="F144" i="4"/>
  <c r="E144" i="4"/>
  <c r="G144" i="4" s="1"/>
  <c r="D144" i="4"/>
  <c r="C144" i="4"/>
  <c r="B144" i="4"/>
  <c r="A144" i="4"/>
  <c r="F143" i="4"/>
  <c r="E143" i="4"/>
  <c r="D143" i="4"/>
  <c r="G143" i="4" s="1"/>
  <c r="C143" i="4"/>
  <c r="B143" i="4"/>
  <c r="A143" i="4"/>
  <c r="H143" i="4" s="1"/>
  <c r="H142" i="4"/>
  <c r="G142" i="4"/>
  <c r="F142" i="4"/>
  <c r="E142" i="4"/>
  <c r="D142" i="4"/>
  <c r="C142" i="4"/>
  <c r="B142" i="4"/>
  <c r="A142" i="4"/>
  <c r="H141" i="4"/>
  <c r="F141" i="4"/>
  <c r="E141" i="4"/>
  <c r="D141" i="4"/>
  <c r="G141" i="4" s="1"/>
  <c r="C141" i="4"/>
  <c r="B141" i="4"/>
  <c r="A141" i="4"/>
  <c r="F140" i="4"/>
  <c r="E140" i="4"/>
  <c r="D140" i="4"/>
  <c r="G140" i="4" s="1"/>
  <c r="C140" i="4"/>
  <c r="B140" i="4"/>
  <c r="A140" i="4"/>
  <c r="H140" i="4" s="1"/>
  <c r="H139" i="4"/>
  <c r="G139" i="4"/>
  <c r="F139" i="4"/>
  <c r="E139" i="4"/>
  <c r="D139" i="4"/>
  <c r="C139" i="4"/>
  <c r="B139" i="4"/>
  <c r="A139" i="4"/>
  <c r="H138" i="4"/>
  <c r="F138" i="4"/>
  <c r="E138" i="4"/>
  <c r="D138" i="4"/>
  <c r="G138" i="4" s="1"/>
  <c r="C138" i="4"/>
  <c r="B138" i="4"/>
  <c r="A138" i="4"/>
  <c r="F137" i="4"/>
  <c r="E137" i="4"/>
  <c r="D137" i="4"/>
  <c r="G137" i="4" s="1"/>
  <c r="C137" i="4"/>
  <c r="B137" i="4"/>
  <c r="A137" i="4"/>
  <c r="H137" i="4" s="1"/>
  <c r="H136" i="4"/>
  <c r="G136" i="4"/>
  <c r="F136" i="4"/>
  <c r="E136" i="4"/>
  <c r="D136" i="4"/>
  <c r="C136" i="4"/>
  <c r="B136" i="4"/>
  <c r="A136" i="4"/>
  <c r="H135" i="4"/>
  <c r="F135" i="4"/>
  <c r="E135" i="4"/>
  <c r="D135" i="4"/>
  <c r="G135" i="4" s="1"/>
  <c r="C135" i="4"/>
  <c r="B135" i="4"/>
  <c r="A135" i="4"/>
  <c r="F134" i="4"/>
  <c r="E134" i="4"/>
  <c r="D134" i="4"/>
  <c r="G134" i="4" s="1"/>
  <c r="C134" i="4"/>
  <c r="B134" i="4"/>
  <c r="A134" i="4"/>
  <c r="H134" i="4" s="1"/>
  <c r="H133" i="4"/>
  <c r="G133" i="4"/>
  <c r="F133" i="4"/>
  <c r="E133" i="4"/>
  <c r="D133" i="4"/>
  <c r="C133" i="4"/>
  <c r="B133" i="4"/>
  <c r="A133" i="4"/>
  <c r="H132" i="4"/>
  <c r="F132" i="4"/>
  <c r="E132" i="4"/>
  <c r="D132" i="4"/>
  <c r="G132" i="4" s="1"/>
  <c r="C132" i="4"/>
  <c r="B132" i="4"/>
  <c r="A132" i="4"/>
  <c r="F131" i="4"/>
  <c r="E131" i="4"/>
  <c r="D131" i="4"/>
  <c r="G131" i="4" s="1"/>
  <c r="C131" i="4"/>
  <c r="B131" i="4"/>
  <c r="A131" i="4"/>
  <c r="H130" i="4"/>
  <c r="G130" i="4"/>
  <c r="F130" i="4"/>
  <c r="E130" i="4"/>
  <c r="D130" i="4"/>
  <c r="C130" i="4"/>
  <c r="B130" i="4"/>
  <c r="A130" i="4"/>
  <c r="H129" i="4"/>
  <c r="G129" i="4"/>
  <c r="F129" i="4"/>
  <c r="E129" i="4"/>
  <c r="D129" i="4"/>
  <c r="C129" i="4"/>
  <c r="B129" i="4"/>
  <c r="A129" i="4"/>
  <c r="F128" i="4"/>
  <c r="E128" i="4"/>
  <c r="D128" i="4"/>
  <c r="G128" i="4" s="1"/>
  <c r="C128" i="4"/>
  <c r="B128" i="4"/>
  <c r="A128" i="4"/>
  <c r="H128" i="4" s="1"/>
  <c r="H127" i="4"/>
  <c r="G127" i="4"/>
  <c r="F127" i="4"/>
  <c r="E127" i="4"/>
  <c r="D127" i="4"/>
  <c r="C127" i="4"/>
  <c r="B127" i="4"/>
  <c r="A127" i="4"/>
  <c r="H126" i="4"/>
  <c r="F126" i="4"/>
  <c r="E126" i="4"/>
  <c r="G126" i="4" s="1"/>
  <c r="D126" i="4"/>
  <c r="C126" i="4"/>
  <c r="B126" i="4"/>
  <c r="A126" i="4"/>
  <c r="F125" i="4"/>
  <c r="E125" i="4"/>
  <c r="D125" i="4"/>
  <c r="G125" i="4" s="1"/>
  <c r="C125" i="4"/>
  <c r="B125" i="4"/>
  <c r="A125" i="4"/>
  <c r="H125" i="4" s="1"/>
  <c r="H124" i="4"/>
  <c r="G124" i="4"/>
  <c r="F124" i="4"/>
  <c r="E124" i="4"/>
  <c r="D124" i="4"/>
  <c r="C124" i="4"/>
  <c r="B124" i="4"/>
  <c r="A124" i="4"/>
  <c r="H123" i="4"/>
  <c r="F123" i="4"/>
  <c r="E123" i="4"/>
  <c r="D123" i="4"/>
  <c r="G123" i="4" s="1"/>
  <c r="C123" i="4"/>
  <c r="B123" i="4"/>
  <c r="A123" i="4"/>
  <c r="F122" i="4"/>
  <c r="E122" i="4"/>
  <c r="D122" i="4"/>
  <c r="G122" i="4" s="1"/>
  <c r="C122" i="4"/>
  <c r="B122" i="4"/>
  <c r="A122" i="4"/>
  <c r="H122" i="4" s="1"/>
  <c r="H121" i="4"/>
  <c r="G121" i="4"/>
  <c r="F121" i="4"/>
  <c r="E121" i="4"/>
  <c r="D121" i="4"/>
  <c r="C121" i="4"/>
  <c r="B121" i="4"/>
  <c r="A121" i="4"/>
  <c r="H120" i="4"/>
  <c r="F120" i="4"/>
  <c r="E120" i="4"/>
  <c r="D120" i="4"/>
  <c r="G120" i="4" s="1"/>
  <c r="C120" i="4"/>
  <c r="B120" i="4"/>
  <c r="A120" i="4"/>
  <c r="F119" i="4"/>
  <c r="E119" i="4"/>
  <c r="D119" i="4"/>
  <c r="G119" i="4" s="1"/>
  <c r="C119" i="4"/>
  <c r="B119" i="4"/>
  <c r="A119" i="4"/>
  <c r="H119" i="4" s="1"/>
  <c r="H118" i="4"/>
  <c r="G118" i="4"/>
  <c r="F118" i="4"/>
  <c r="E118" i="4"/>
  <c r="D118" i="4"/>
  <c r="C118" i="4"/>
  <c r="B118" i="4"/>
  <c r="A118" i="4"/>
  <c r="H117" i="4"/>
  <c r="F117" i="4"/>
  <c r="E117" i="4"/>
  <c r="D117" i="4"/>
  <c r="G117" i="4" s="1"/>
  <c r="C117" i="4"/>
  <c r="B117" i="4"/>
  <c r="A117" i="4"/>
  <c r="F116" i="4"/>
  <c r="E116" i="4"/>
  <c r="D116" i="4"/>
  <c r="G116" i="4" s="1"/>
  <c r="C116" i="4"/>
  <c r="B116" i="4"/>
  <c r="A116" i="4"/>
  <c r="H116" i="4" s="1"/>
  <c r="H115" i="4"/>
  <c r="G115" i="4"/>
  <c r="F115" i="4"/>
  <c r="E115" i="4"/>
  <c r="D115" i="4"/>
  <c r="C115" i="4"/>
  <c r="B115" i="4"/>
  <c r="A115" i="4"/>
  <c r="H114" i="4"/>
  <c r="F114" i="4"/>
  <c r="E114" i="4"/>
  <c r="D114" i="4"/>
  <c r="G114" i="4" s="1"/>
  <c r="C114" i="4"/>
  <c r="B114" i="4"/>
  <c r="A114" i="4"/>
  <c r="F113" i="4"/>
  <c r="E113" i="4"/>
  <c r="D113" i="4"/>
  <c r="G113" i="4" s="1"/>
  <c r="C113" i="4"/>
  <c r="B113" i="4"/>
  <c r="A113" i="4"/>
  <c r="H112" i="4"/>
  <c r="G112" i="4"/>
  <c r="F112" i="4"/>
  <c r="E112" i="4"/>
  <c r="D112" i="4"/>
  <c r="C112" i="4"/>
  <c r="B112" i="4"/>
  <c r="A112" i="4"/>
  <c r="H111" i="4"/>
  <c r="G111" i="4"/>
  <c r="F111" i="4"/>
  <c r="E111" i="4"/>
  <c r="D111" i="4"/>
  <c r="C111" i="4"/>
  <c r="B111" i="4"/>
  <c r="A111" i="4"/>
  <c r="F110" i="4"/>
  <c r="E110" i="4"/>
  <c r="D110" i="4"/>
  <c r="G110" i="4" s="1"/>
  <c r="C110" i="4"/>
  <c r="B110" i="4"/>
  <c r="A110" i="4"/>
  <c r="H110" i="4" s="1"/>
  <c r="H109" i="4"/>
  <c r="G109" i="4"/>
  <c r="F109" i="4"/>
  <c r="E109" i="4"/>
  <c r="D109" i="4"/>
  <c r="C109" i="4"/>
  <c r="B109" i="4"/>
  <c r="A109" i="4"/>
  <c r="H108" i="4"/>
  <c r="F108" i="4"/>
  <c r="E108" i="4"/>
  <c r="G108" i="4" s="1"/>
  <c r="D108" i="4"/>
  <c r="C108" i="4"/>
  <c r="B108" i="4"/>
  <c r="A108" i="4"/>
  <c r="F107" i="4"/>
  <c r="E107" i="4"/>
  <c r="D107" i="4"/>
  <c r="G107" i="4" s="1"/>
  <c r="C107" i="4"/>
  <c r="B107" i="4"/>
  <c r="A107" i="4"/>
  <c r="H107" i="4" s="1"/>
  <c r="H106" i="4"/>
  <c r="G106" i="4"/>
  <c r="F106" i="4"/>
  <c r="E106" i="4"/>
  <c r="D106" i="4"/>
  <c r="C106" i="4"/>
  <c r="B106" i="4"/>
  <c r="A106" i="4"/>
  <c r="H105" i="4"/>
  <c r="F105" i="4"/>
  <c r="E105" i="4"/>
  <c r="D105" i="4"/>
  <c r="G105" i="4" s="1"/>
  <c r="C105" i="4"/>
  <c r="B105" i="4"/>
  <c r="A105" i="4"/>
  <c r="F104" i="4"/>
  <c r="E104" i="4"/>
  <c r="D104" i="4"/>
  <c r="G104" i="4" s="1"/>
  <c r="C104" i="4"/>
  <c r="B104" i="4"/>
  <c r="A104" i="4"/>
  <c r="H104" i="4" s="1"/>
  <c r="H103" i="4"/>
  <c r="G103" i="4"/>
  <c r="F103" i="4"/>
  <c r="E103" i="4"/>
  <c r="D103" i="4"/>
  <c r="C103" i="4"/>
  <c r="B103" i="4"/>
  <c r="A103" i="4"/>
  <c r="H102" i="4"/>
  <c r="F102" i="4"/>
  <c r="E102" i="4"/>
  <c r="D102" i="4"/>
  <c r="G102" i="4" s="1"/>
  <c r="C102" i="4"/>
  <c r="B102" i="4"/>
  <c r="A102" i="4"/>
  <c r="F101" i="4"/>
  <c r="E101" i="4"/>
  <c r="D101" i="4"/>
  <c r="G101" i="4" s="1"/>
  <c r="C101" i="4"/>
  <c r="B101" i="4"/>
  <c r="A101" i="4"/>
  <c r="H101" i="4" s="1"/>
  <c r="H100" i="4"/>
  <c r="G100" i="4"/>
  <c r="F100" i="4"/>
  <c r="E100" i="4"/>
  <c r="D100" i="4"/>
  <c r="C100" i="4"/>
  <c r="B100" i="4"/>
  <c r="A100" i="4"/>
  <c r="H99" i="4"/>
  <c r="F99" i="4"/>
  <c r="E99" i="4"/>
  <c r="D99" i="4"/>
  <c r="G99" i="4" s="1"/>
  <c r="C99" i="4"/>
  <c r="B99" i="4"/>
  <c r="A99" i="4"/>
  <c r="F98" i="4"/>
  <c r="E98" i="4"/>
  <c r="D98" i="4"/>
  <c r="G98" i="4" s="1"/>
  <c r="C98" i="4"/>
  <c r="B98" i="4"/>
  <c r="A98" i="4"/>
  <c r="H98" i="4" s="1"/>
  <c r="H97" i="4"/>
  <c r="G97" i="4"/>
  <c r="F97" i="4"/>
  <c r="E97" i="4"/>
  <c r="D97" i="4"/>
  <c r="C97" i="4"/>
  <c r="B97" i="4"/>
  <c r="A97" i="4"/>
  <c r="H96" i="4"/>
  <c r="F96" i="4"/>
  <c r="E96" i="4"/>
  <c r="D96" i="4"/>
  <c r="G96" i="4" s="1"/>
  <c r="C96" i="4"/>
  <c r="B96" i="4"/>
  <c r="A96" i="4"/>
  <c r="F95" i="4"/>
  <c r="E95" i="4"/>
  <c r="D95" i="4"/>
  <c r="G95" i="4" s="1"/>
  <c r="C95" i="4"/>
  <c r="B95" i="4"/>
  <c r="A95" i="4"/>
  <c r="H94" i="4"/>
  <c r="G94" i="4"/>
  <c r="F94" i="4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F92" i="4"/>
  <c r="E92" i="4"/>
  <c r="D92" i="4"/>
  <c r="G92" i="4" s="1"/>
  <c r="C92" i="4"/>
  <c r="B92" i="4"/>
  <c r="A92" i="4"/>
  <c r="H92" i="4" s="1"/>
  <c r="H91" i="4"/>
  <c r="G91" i="4"/>
  <c r="F91" i="4"/>
  <c r="E91" i="4"/>
  <c r="D91" i="4"/>
  <c r="C91" i="4"/>
  <c r="B91" i="4"/>
  <c r="A91" i="4"/>
  <c r="H90" i="4"/>
  <c r="F90" i="4"/>
  <c r="E90" i="4"/>
  <c r="G90" i="4" s="1"/>
  <c r="D90" i="4"/>
  <c r="C90" i="4"/>
  <c r="B90" i="4"/>
  <c r="A90" i="4"/>
  <c r="F89" i="4"/>
  <c r="E89" i="4"/>
  <c r="D89" i="4"/>
  <c r="G89" i="4" s="1"/>
  <c r="C89" i="4"/>
  <c r="B89" i="4"/>
  <c r="A89" i="4"/>
  <c r="H89" i="4" s="1"/>
  <c r="H88" i="4"/>
  <c r="G88" i="4"/>
  <c r="F88" i="4"/>
  <c r="E88" i="4"/>
  <c r="D88" i="4"/>
  <c r="C88" i="4"/>
  <c r="B88" i="4"/>
  <c r="A88" i="4"/>
  <c r="H87" i="4"/>
  <c r="F87" i="4"/>
  <c r="E87" i="4"/>
  <c r="D87" i="4"/>
  <c r="G87" i="4" s="1"/>
  <c r="C87" i="4"/>
  <c r="B87" i="4"/>
  <c r="A87" i="4"/>
  <c r="F86" i="4"/>
  <c r="E86" i="4"/>
  <c r="D86" i="4"/>
  <c r="G86" i="4" s="1"/>
  <c r="C86" i="4"/>
  <c r="B86" i="4"/>
  <c r="A86" i="4"/>
  <c r="H86" i="4" s="1"/>
  <c r="H85" i="4"/>
  <c r="G85" i="4"/>
  <c r="F85" i="4"/>
  <c r="E85" i="4"/>
  <c r="D85" i="4"/>
  <c r="C85" i="4"/>
  <c r="B85" i="4"/>
  <c r="A85" i="4"/>
  <c r="F84" i="4"/>
  <c r="E84" i="4"/>
  <c r="D84" i="4"/>
  <c r="G84" i="4" s="1"/>
  <c r="C84" i="4"/>
  <c r="H84" i="4" s="1"/>
  <c r="B84" i="4"/>
  <c r="A84" i="4"/>
  <c r="F83" i="4"/>
  <c r="E83" i="4"/>
  <c r="D83" i="4"/>
  <c r="G83" i="4" s="1"/>
  <c r="C83" i="4"/>
  <c r="B83" i="4"/>
  <c r="A83" i="4"/>
  <c r="H83" i="4" s="1"/>
  <c r="H82" i="4"/>
  <c r="G82" i="4"/>
  <c r="F82" i="4"/>
  <c r="E82" i="4"/>
  <c r="D82" i="4"/>
  <c r="C82" i="4"/>
  <c r="B82" i="4"/>
  <c r="A82" i="4"/>
  <c r="F81" i="4"/>
  <c r="E81" i="4"/>
  <c r="D81" i="4"/>
  <c r="G81" i="4" s="1"/>
  <c r="C81" i="4"/>
  <c r="H81" i="4" s="1"/>
  <c r="B81" i="4"/>
  <c r="A81" i="4"/>
  <c r="F80" i="4"/>
  <c r="E80" i="4"/>
  <c r="D80" i="4"/>
  <c r="G80" i="4" s="1"/>
  <c r="C80" i="4"/>
  <c r="B80" i="4"/>
  <c r="A80" i="4"/>
  <c r="H80" i="4" s="1"/>
  <c r="G79" i="4"/>
  <c r="F79" i="4"/>
  <c r="E79" i="4"/>
  <c r="D79" i="4"/>
  <c r="C79" i="4"/>
  <c r="H79" i="4" s="1"/>
  <c r="B79" i="4"/>
  <c r="A79" i="4"/>
  <c r="F78" i="4"/>
  <c r="E78" i="4"/>
  <c r="D78" i="4"/>
  <c r="G78" i="4" s="1"/>
  <c r="C78" i="4"/>
  <c r="H78" i="4" s="1"/>
  <c r="B78" i="4"/>
  <c r="A78" i="4"/>
  <c r="F77" i="4"/>
  <c r="E77" i="4"/>
  <c r="D77" i="4"/>
  <c r="G77" i="4" s="1"/>
  <c r="C77" i="4"/>
  <c r="B77" i="4"/>
  <c r="A77" i="4"/>
  <c r="G76" i="4"/>
  <c r="F76" i="4"/>
  <c r="E76" i="4"/>
  <c r="D76" i="4"/>
  <c r="C76" i="4"/>
  <c r="H76" i="4" s="1"/>
  <c r="B76" i="4"/>
  <c r="A76" i="4"/>
  <c r="H75" i="4"/>
  <c r="G75" i="4"/>
  <c r="F75" i="4"/>
  <c r="E75" i="4"/>
  <c r="D75" i="4"/>
  <c r="C75" i="4"/>
  <c r="B75" i="4"/>
  <c r="A75" i="4"/>
  <c r="F74" i="4"/>
  <c r="E74" i="4"/>
  <c r="D74" i="4"/>
  <c r="G74" i="4" s="1"/>
  <c r="C74" i="4"/>
  <c r="B74" i="4"/>
  <c r="A74" i="4"/>
  <c r="G73" i="4"/>
  <c r="F73" i="4"/>
  <c r="E73" i="4"/>
  <c r="D73" i="4"/>
  <c r="C73" i="4"/>
  <c r="H73" i="4" s="1"/>
  <c r="B73" i="4"/>
  <c r="A73" i="4"/>
  <c r="H72" i="4"/>
  <c r="G72" i="4"/>
  <c r="F72" i="4"/>
  <c r="E72" i="4"/>
  <c r="D72" i="4"/>
  <c r="C72" i="4"/>
  <c r="B72" i="4"/>
  <c r="A72" i="4"/>
  <c r="F71" i="4"/>
  <c r="E71" i="4"/>
  <c r="D71" i="4"/>
  <c r="G71" i="4" s="1"/>
  <c r="C71" i="4"/>
  <c r="B71" i="4"/>
  <c r="A71" i="4"/>
  <c r="G70" i="4"/>
  <c r="F70" i="4"/>
  <c r="E70" i="4"/>
  <c r="D70" i="4"/>
  <c r="C70" i="4"/>
  <c r="H70" i="4" s="1"/>
  <c r="B70" i="4"/>
  <c r="A70" i="4"/>
  <c r="H69" i="4"/>
  <c r="G69" i="4"/>
  <c r="F69" i="4"/>
  <c r="E69" i="4"/>
  <c r="D69" i="4"/>
  <c r="C69" i="4"/>
  <c r="B69" i="4"/>
  <c r="A69" i="4"/>
  <c r="F68" i="4"/>
  <c r="E68" i="4"/>
  <c r="D68" i="4"/>
  <c r="G68" i="4" s="1"/>
  <c r="C68" i="4"/>
  <c r="B68" i="4"/>
  <c r="A68" i="4"/>
  <c r="H68" i="4" s="1"/>
  <c r="G67" i="4"/>
  <c r="F67" i="4"/>
  <c r="E67" i="4"/>
  <c r="D67" i="4"/>
  <c r="C67" i="4"/>
  <c r="H67" i="4" s="1"/>
  <c r="B67" i="4"/>
  <c r="A67" i="4"/>
  <c r="H66" i="4"/>
  <c r="F66" i="4"/>
  <c r="E66" i="4"/>
  <c r="G66" i="4" s="1"/>
  <c r="D66" i="4"/>
  <c r="C66" i="4"/>
  <c r="B66" i="4"/>
  <c r="A66" i="4"/>
  <c r="F65" i="4"/>
  <c r="E65" i="4"/>
  <c r="D65" i="4"/>
  <c r="G65" i="4" s="1"/>
  <c r="C65" i="4"/>
  <c r="B65" i="4"/>
  <c r="A65" i="4"/>
  <c r="H65" i="4" s="1"/>
  <c r="H64" i="4"/>
  <c r="G64" i="4"/>
  <c r="F64" i="4"/>
  <c r="E64" i="4"/>
  <c r="D64" i="4"/>
  <c r="C64" i="4"/>
  <c r="B64" i="4"/>
  <c r="A64" i="4"/>
  <c r="H63" i="4"/>
  <c r="F63" i="4"/>
  <c r="E63" i="4"/>
  <c r="D63" i="4"/>
  <c r="G63" i="4" s="1"/>
  <c r="C63" i="4"/>
  <c r="B63" i="4"/>
  <c r="A63" i="4"/>
  <c r="F62" i="4"/>
  <c r="E62" i="4"/>
  <c r="D62" i="4"/>
  <c r="G62" i="4" s="1"/>
  <c r="C62" i="4"/>
  <c r="B62" i="4"/>
  <c r="A62" i="4"/>
  <c r="H62" i="4" s="1"/>
  <c r="H61" i="4"/>
  <c r="G61" i="4"/>
  <c r="F61" i="4"/>
  <c r="E61" i="4"/>
  <c r="D61" i="4"/>
  <c r="C61" i="4"/>
  <c r="B61" i="4"/>
  <c r="A61" i="4"/>
  <c r="F60" i="4"/>
  <c r="E60" i="4"/>
  <c r="D60" i="4"/>
  <c r="G60" i="4" s="1"/>
  <c r="C60" i="4"/>
  <c r="H60" i="4" s="1"/>
  <c r="B60" i="4"/>
  <c r="A60" i="4"/>
  <c r="F59" i="4"/>
  <c r="E59" i="4"/>
  <c r="D59" i="4"/>
  <c r="G59" i="4" s="1"/>
  <c r="C59" i="4"/>
  <c r="B59" i="4"/>
  <c r="A59" i="4"/>
  <c r="H59" i="4" s="1"/>
  <c r="H58" i="4"/>
  <c r="G58" i="4"/>
  <c r="F58" i="4"/>
  <c r="E58" i="4"/>
  <c r="D58" i="4"/>
  <c r="C58" i="4"/>
  <c r="B58" i="4"/>
  <c r="A58" i="4"/>
  <c r="F57" i="4"/>
  <c r="E57" i="4"/>
  <c r="D57" i="4"/>
  <c r="G57" i="4" s="1"/>
  <c r="C57" i="4"/>
  <c r="H57" i="4" s="1"/>
  <c r="B57" i="4"/>
  <c r="A57" i="4"/>
  <c r="F56" i="4"/>
  <c r="E56" i="4"/>
  <c r="D56" i="4"/>
  <c r="G56" i="4" s="1"/>
  <c r="C56" i="4"/>
  <c r="B56" i="4"/>
  <c r="A56" i="4"/>
  <c r="H56" i="4" s="1"/>
  <c r="H55" i="4"/>
  <c r="G55" i="4"/>
  <c r="F55" i="4"/>
  <c r="E55" i="4"/>
  <c r="D55" i="4"/>
  <c r="C55" i="4"/>
  <c r="B55" i="4"/>
  <c r="A55" i="4"/>
  <c r="F54" i="4"/>
  <c r="E54" i="4"/>
  <c r="D54" i="4"/>
  <c r="G54" i="4" s="1"/>
  <c r="C54" i="4"/>
  <c r="H54" i="4" s="1"/>
  <c r="B54" i="4"/>
  <c r="A54" i="4"/>
  <c r="G53" i="4"/>
  <c r="F53" i="4"/>
  <c r="E53" i="4"/>
  <c r="D53" i="4"/>
  <c r="C53" i="4"/>
  <c r="B53" i="4"/>
  <c r="A53" i="4"/>
  <c r="H53" i="4" s="1"/>
  <c r="H52" i="4"/>
  <c r="G52" i="4"/>
  <c r="F52" i="4"/>
  <c r="E52" i="4"/>
  <c r="D52" i="4"/>
  <c r="C52" i="4"/>
  <c r="B52" i="4"/>
  <c r="A52" i="4"/>
  <c r="F51" i="4"/>
  <c r="E51" i="4"/>
  <c r="D51" i="4"/>
  <c r="G51" i="4" s="1"/>
  <c r="C51" i="4"/>
  <c r="H51" i="4" s="1"/>
  <c r="B51" i="4"/>
  <c r="A51" i="4"/>
  <c r="G50" i="4"/>
  <c r="F50" i="4"/>
  <c r="E50" i="4"/>
  <c r="D50" i="4"/>
  <c r="C50" i="4"/>
  <c r="B50" i="4"/>
  <c r="A50" i="4"/>
  <c r="H50" i="4" s="1"/>
  <c r="G49" i="4"/>
  <c r="F49" i="4"/>
  <c r="E49" i="4"/>
  <c r="D49" i="4"/>
  <c r="C49" i="4"/>
  <c r="H49" i="4" s="1"/>
  <c r="B49" i="4"/>
  <c r="A49" i="4"/>
  <c r="F48" i="4"/>
  <c r="E48" i="4"/>
  <c r="D48" i="4"/>
  <c r="G48" i="4" s="1"/>
  <c r="C48" i="4"/>
  <c r="H48" i="4" s="1"/>
  <c r="B48" i="4"/>
  <c r="A48" i="4"/>
  <c r="G47" i="4"/>
  <c r="F47" i="4"/>
  <c r="E47" i="4"/>
  <c r="D47" i="4"/>
  <c r="C47" i="4"/>
  <c r="B47" i="4"/>
  <c r="A47" i="4"/>
  <c r="H47" i="4" s="1"/>
  <c r="G46" i="4"/>
  <c r="F46" i="4"/>
  <c r="E46" i="4"/>
  <c r="D46" i="4"/>
  <c r="C46" i="4"/>
  <c r="H46" i="4" s="1"/>
  <c r="B46" i="4"/>
  <c r="A46" i="4"/>
  <c r="F45" i="4"/>
  <c r="E45" i="4"/>
  <c r="D45" i="4"/>
  <c r="G45" i="4" s="1"/>
  <c r="C45" i="4"/>
  <c r="H45" i="4" s="1"/>
  <c r="B45" i="4"/>
  <c r="A45" i="4"/>
  <c r="G44" i="4"/>
  <c r="F44" i="4"/>
  <c r="E44" i="4"/>
  <c r="D44" i="4"/>
  <c r="C44" i="4"/>
  <c r="B44" i="4"/>
  <c r="A44" i="4"/>
  <c r="H44" i="4" s="1"/>
  <c r="G43" i="4"/>
  <c r="F43" i="4"/>
  <c r="E43" i="4"/>
  <c r="D43" i="4"/>
  <c r="C43" i="4"/>
  <c r="H43" i="4" s="1"/>
  <c r="B43" i="4"/>
  <c r="A43" i="4"/>
  <c r="F42" i="4"/>
  <c r="E42" i="4"/>
  <c r="D42" i="4"/>
  <c r="G42" i="4" s="1"/>
  <c r="C42" i="4"/>
  <c r="H42" i="4" s="1"/>
  <c r="B42" i="4"/>
  <c r="A42" i="4"/>
  <c r="F41" i="4"/>
  <c r="E41" i="4"/>
  <c r="D41" i="4"/>
  <c r="G41" i="4" s="1"/>
  <c r="C41" i="4"/>
  <c r="B41" i="4"/>
  <c r="A41" i="4"/>
  <c r="G40" i="4"/>
  <c r="F40" i="4"/>
  <c r="E40" i="4"/>
  <c r="D40" i="4"/>
  <c r="C40" i="4"/>
  <c r="H40" i="4" s="1"/>
  <c r="B40" i="4"/>
  <c r="A40" i="4"/>
  <c r="H39" i="4"/>
  <c r="G39" i="4"/>
  <c r="F39" i="4"/>
  <c r="E39" i="4"/>
  <c r="D39" i="4"/>
  <c r="C39" i="4"/>
  <c r="B39" i="4"/>
  <c r="A39" i="4"/>
  <c r="F38" i="4"/>
  <c r="E38" i="4"/>
  <c r="D38" i="4"/>
  <c r="G38" i="4" s="1"/>
  <c r="C38" i="4"/>
  <c r="B38" i="4"/>
  <c r="A38" i="4"/>
  <c r="G37" i="4"/>
  <c r="F37" i="4"/>
  <c r="E37" i="4"/>
  <c r="D37" i="4"/>
  <c r="C37" i="4"/>
  <c r="H37" i="4" s="1"/>
  <c r="B37" i="4"/>
  <c r="A37" i="4"/>
  <c r="H36" i="4"/>
  <c r="G36" i="4"/>
  <c r="F36" i="4"/>
  <c r="E36" i="4"/>
  <c r="D36" i="4"/>
  <c r="C36" i="4"/>
  <c r="B36" i="4"/>
  <c r="A36" i="4"/>
  <c r="F35" i="4"/>
  <c r="E35" i="4"/>
  <c r="D35" i="4"/>
  <c r="G35" i="4" s="1"/>
  <c r="C35" i="4"/>
  <c r="B35" i="4"/>
  <c r="A35" i="4"/>
  <c r="G34" i="4"/>
  <c r="F34" i="4"/>
  <c r="E34" i="4"/>
  <c r="D34" i="4"/>
  <c r="C34" i="4"/>
  <c r="H34" i="4" s="1"/>
  <c r="B34" i="4"/>
  <c r="A34" i="4"/>
  <c r="H33" i="4"/>
  <c r="G33" i="4"/>
  <c r="F33" i="4"/>
  <c r="E33" i="4"/>
  <c r="D33" i="4"/>
  <c r="C33" i="4"/>
  <c r="B33" i="4"/>
  <c r="A33" i="4"/>
  <c r="F32" i="4"/>
  <c r="E32" i="4"/>
  <c r="D32" i="4"/>
  <c r="G32" i="4" s="1"/>
  <c r="C32" i="4"/>
  <c r="B32" i="4"/>
  <c r="A32" i="4"/>
  <c r="H32" i="4" s="1"/>
  <c r="G31" i="4"/>
  <c r="F31" i="4"/>
  <c r="E31" i="4"/>
  <c r="D31" i="4"/>
  <c r="C31" i="4"/>
  <c r="H31" i="4" s="1"/>
  <c r="B31" i="4"/>
  <c r="A31" i="4"/>
  <c r="H30" i="4"/>
  <c r="F30" i="4"/>
  <c r="E30" i="4"/>
  <c r="G30" i="4" s="1"/>
  <c r="D30" i="4"/>
  <c r="C30" i="4"/>
  <c r="B30" i="4"/>
  <c r="A30" i="4"/>
  <c r="F29" i="4"/>
  <c r="E29" i="4"/>
  <c r="D29" i="4"/>
  <c r="G29" i="4" s="1"/>
  <c r="C29" i="4"/>
  <c r="B29" i="4"/>
  <c r="A29" i="4"/>
  <c r="H29" i="4" s="1"/>
  <c r="H28" i="4"/>
  <c r="G28" i="4"/>
  <c r="F28" i="4"/>
  <c r="E28" i="4"/>
  <c r="D28" i="4"/>
  <c r="C28" i="4"/>
  <c r="B28" i="4"/>
  <c r="A28" i="4"/>
  <c r="H27" i="4"/>
  <c r="F27" i="4"/>
  <c r="E27" i="4"/>
  <c r="D27" i="4"/>
  <c r="G27" i="4" s="1"/>
  <c r="C27" i="4"/>
  <c r="B27" i="4"/>
  <c r="A27" i="4"/>
  <c r="F26" i="4"/>
  <c r="E26" i="4"/>
  <c r="D26" i="4"/>
  <c r="G26" i="4" s="1"/>
  <c r="C26" i="4"/>
  <c r="B26" i="4"/>
  <c r="A26" i="4"/>
  <c r="H26" i="4" s="1"/>
  <c r="H25" i="4"/>
  <c r="G25" i="4"/>
  <c r="F25" i="4"/>
  <c r="E25" i="4"/>
  <c r="D25" i="4"/>
  <c r="C25" i="4"/>
  <c r="B25" i="4"/>
  <c r="A25" i="4"/>
  <c r="F24" i="4"/>
  <c r="E24" i="4"/>
  <c r="D24" i="4"/>
  <c r="G24" i="4" s="1"/>
  <c r="C24" i="4"/>
  <c r="H24" i="4" s="1"/>
  <c r="B24" i="4"/>
  <c r="A24" i="4"/>
  <c r="F23" i="4"/>
  <c r="E23" i="4"/>
  <c r="D23" i="4"/>
  <c r="G23" i="4" s="1"/>
  <c r="C23" i="4"/>
  <c r="B23" i="4"/>
  <c r="A23" i="4"/>
  <c r="H23" i="4" s="1"/>
  <c r="H22" i="4"/>
  <c r="G22" i="4"/>
  <c r="F22" i="4"/>
  <c r="E22" i="4"/>
  <c r="D22" i="4"/>
  <c r="C22" i="4"/>
  <c r="B22" i="4"/>
  <c r="A22" i="4"/>
  <c r="F21" i="4"/>
  <c r="E21" i="4"/>
  <c r="D21" i="4"/>
  <c r="G21" i="4" s="1"/>
  <c r="C21" i="4"/>
  <c r="H21" i="4" s="1"/>
  <c r="B21" i="4"/>
  <c r="A21" i="4"/>
  <c r="F20" i="4"/>
  <c r="E20" i="4"/>
  <c r="D20" i="4"/>
  <c r="G20" i="4" s="1"/>
  <c r="C20" i="4"/>
  <c r="B20" i="4"/>
  <c r="A20" i="4"/>
  <c r="H20" i="4" s="1"/>
  <c r="H19" i="4"/>
  <c r="G19" i="4"/>
  <c r="F19" i="4"/>
  <c r="E19" i="4"/>
  <c r="D19" i="4"/>
  <c r="C19" i="4"/>
  <c r="B19" i="4"/>
  <c r="A19" i="4"/>
  <c r="F18" i="4"/>
  <c r="E18" i="4"/>
  <c r="D18" i="4"/>
  <c r="G18" i="4" s="1"/>
  <c r="C18" i="4"/>
  <c r="H18" i="4" s="1"/>
  <c r="B18" i="4"/>
  <c r="A18" i="4"/>
  <c r="G17" i="4"/>
  <c r="F17" i="4"/>
  <c r="E17" i="4"/>
  <c r="D17" i="4"/>
  <c r="C17" i="4"/>
  <c r="B17" i="4"/>
  <c r="A17" i="4"/>
  <c r="H17" i="4" s="1"/>
  <c r="H16" i="4"/>
  <c r="G16" i="4"/>
  <c r="F16" i="4"/>
  <c r="E16" i="4"/>
  <c r="D16" i="4"/>
  <c r="C16" i="4"/>
  <c r="B16" i="4"/>
  <c r="A16" i="4"/>
  <c r="F15" i="4"/>
  <c r="E15" i="4"/>
  <c r="D15" i="4"/>
  <c r="G15" i="4" s="1"/>
  <c r="C15" i="4"/>
  <c r="H15" i="4" s="1"/>
  <c r="B15" i="4"/>
  <c r="A15" i="4"/>
  <c r="G14" i="4"/>
  <c r="F14" i="4"/>
  <c r="E14" i="4"/>
  <c r="D14" i="4"/>
  <c r="C14" i="4"/>
  <c r="B14" i="4"/>
  <c r="A14" i="4"/>
  <c r="H14" i="4" s="1"/>
  <c r="G13" i="4"/>
  <c r="F13" i="4"/>
  <c r="E13" i="4"/>
  <c r="D13" i="4"/>
  <c r="C13" i="4"/>
  <c r="H13" i="4" s="1"/>
  <c r="B13" i="4"/>
  <c r="A13" i="4"/>
  <c r="F12" i="4"/>
  <c r="E12" i="4"/>
  <c r="D12" i="4"/>
  <c r="G12" i="4" s="1"/>
  <c r="C12" i="4"/>
  <c r="H12" i="4" s="1"/>
  <c r="B12" i="4"/>
  <c r="A12" i="4"/>
  <c r="G11" i="4"/>
  <c r="F11" i="4"/>
  <c r="E11" i="4"/>
  <c r="D11" i="4"/>
  <c r="C11" i="4"/>
  <c r="B11" i="4"/>
  <c r="A11" i="4"/>
  <c r="H11" i="4" s="1"/>
  <c r="G10" i="4"/>
  <c r="F10" i="4"/>
  <c r="E10" i="4"/>
  <c r="D10" i="4"/>
  <c r="C10" i="4"/>
  <c r="H10" i="4" s="1"/>
  <c r="B10" i="4"/>
  <c r="A10" i="4"/>
  <c r="F9" i="4"/>
  <c r="E9" i="4"/>
  <c r="D9" i="4"/>
  <c r="G9" i="4" s="1"/>
  <c r="C9" i="4"/>
  <c r="H9" i="4" s="1"/>
  <c r="B9" i="4"/>
  <c r="A9" i="4"/>
  <c r="G8" i="4"/>
  <c r="F8" i="4"/>
  <c r="E8" i="4"/>
  <c r="D8" i="4"/>
  <c r="C8" i="4"/>
  <c r="B8" i="4"/>
  <c r="A8" i="4"/>
  <c r="H8" i="4" s="1"/>
  <c r="G7" i="4"/>
  <c r="F7" i="4"/>
  <c r="E7" i="4"/>
  <c r="D7" i="4"/>
  <c r="C7" i="4"/>
  <c r="H7" i="4" s="1"/>
  <c r="B7" i="4"/>
  <c r="A7" i="4"/>
  <c r="F6" i="4"/>
  <c r="E6" i="4"/>
  <c r="D6" i="4"/>
  <c r="G6" i="4" s="1"/>
  <c r="C6" i="4"/>
  <c r="H6" i="4" s="1"/>
  <c r="B6" i="4"/>
  <c r="A6" i="4"/>
  <c r="F5" i="4"/>
  <c r="E5" i="4"/>
  <c r="D5" i="4"/>
  <c r="G5" i="4" s="1"/>
  <c r="C5" i="4"/>
  <c r="B5" i="4"/>
  <c r="A5" i="4"/>
  <c r="G4" i="4"/>
  <c r="F4" i="4"/>
  <c r="E4" i="4"/>
  <c r="D4" i="4"/>
  <c r="C4" i="4"/>
  <c r="H4" i="4" s="1"/>
  <c r="B4" i="4"/>
  <c r="F32" i="6" s="1"/>
  <c r="A4" i="4"/>
  <c r="H3" i="4"/>
  <c r="G3" i="4"/>
  <c r="F3" i="4"/>
  <c r="E3" i="4"/>
  <c r="D3" i="4"/>
  <c r="C3" i="4"/>
  <c r="B3" i="4"/>
  <c r="A3" i="4"/>
  <c r="F2" i="4"/>
  <c r="E2" i="4"/>
  <c r="D2" i="4"/>
  <c r="G2" i="4" s="1"/>
  <c r="C2" i="4"/>
  <c r="B2" i="4"/>
  <c r="A2" i="4"/>
  <c r="F110" i="6" s="1"/>
  <c r="F14" i="3"/>
  <c r="E14" i="3"/>
  <c r="D14" i="3"/>
  <c r="C14" i="3"/>
  <c r="C28" i="5" s="1"/>
  <c r="E93" i="6" l="1"/>
  <c r="G21" i="6"/>
  <c r="E15" i="6"/>
  <c r="F62" i="6"/>
  <c r="G62" i="6"/>
  <c r="D71" i="6"/>
  <c r="G366" i="4"/>
  <c r="H6" i="8" s="1"/>
  <c r="G477" i="4"/>
  <c r="D25" i="6" s="1"/>
  <c r="G585" i="4"/>
  <c r="G845" i="4"/>
  <c r="F15" i="6"/>
  <c r="D93" i="6"/>
  <c r="C97" i="6"/>
  <c r="C29" i="6"/>
  <c r="E97" i="6"/>
  <c r="E17" i="6"/>
  <c r="G28" i="6"/>
  <c r="H77" i="4"/>
  <c r="H224" i="4"/>
  <c r="H242" i="4"/>
  <c r="H260" i="4"/>
  <c r="H278" i="4"/>
  <c r="H296" i="4"/>
  <c r="H314" i="4"/>
  <c r="H332" i="4"/>
  <c r="H377" i="4"/>
  <c r="H446" i="4"/>
  <c r="H488" i="4"/>
  <c r="H554" i="4"/>
  <c r="C18" i="6"/>
  <c r="D13" i="6"/>
  <c r="C23" i="8" s="1"/>
  <c r="F9" i="6"/>
  <c r="G17" i="6"/>
  <c r="C13" i="6"/>
  <c r="E9" i="6"/>
  <c r="G34" i="6"/>
  <c r="C30" i="6"/>
  <c r="D26" i="6"/>
  <c r="F34" i="6"/>
  <c r="G29" i="6"/>
  <c r="G25" i="6"/>
  <c r="C21" i="6"/>
  <c r="D17" i="6"/>
  <c r="C27" i="8" s="1"/>
  <c r="E12" i="6"/>
  <c r="G8" i="6"/>
  <c r="E33" i="6"/>
  <c r="E29" i="6"/>
  <c r="F24" i="6"/>
  <c r="G20" i="6"/>
  <c r="C16" i="6"/>
  <c r="F8" i="6"/>
  <c r="D29" i="6"/>
  <c r="E24" i="6"/>
  <c r="F20" i="6"/>
  <c r="G15" i="6"/>
  <c r="C12" i="6"/>
  <c r="E8" i="6"/>
  <c r="C33" i="6"/>
  <c r="D24" i="6"/>
  <c r="D7" i="6"/>
  <c r="C17" i="8" s="1"/>
  <c r="C24" i="6"/>
  <c r="G11" i="6"/>
  <c r="E11" i="6"/>
  <c r="C9" i="6"/>
  <c r="G32" i="6"/>
  <c r="E7" i="6"/>
  <c r="E67" i="6"/>
  <c r="F67" i="6"/>
  <c r="H5" i="4"/>
  <c r="H41" i="4"/>
  <c r="C13" i="8"/>
  <c r="C12" i="8"/>
  <c r="G135" i="6"/>
  <c r="F135" i="6"/>
  <c r="D133" i="6"/>
  <c r="G130" i="6"/>
  <c r="E128" i="6"/>
  <c r="C126" i="6"/>
  <c r="F123" i="6"/>
  <c r="D121" i="6"/>
  <c r="G118" i="6"/>
  <c r="E116" i="6"/>
  <c r="C114" i="6"/>
  <c r="D109" i="6"/>
  <c r="G106" i="6"/>
  <c r="E104" i="6"/>
  <c r="C102" i="6"/>
  <c r="F99" i="6"/>
  <c r="D97" i="6"/>
  <c r="G94" i="6"/>
  <c r="C90" i="6"/>
  <c r="F87" i="6"/>
  <c r="D85" i="6"/>
  <c r="G82" i="6"/>
  <c r="E80" i="6"/>
  <c r="C78" i="6"/>
  <c r="D73" i="6"/>
  <c r="G70" i="6"/>
  <c r="E68" i="6"/>
  <c r="C66" i="6"/>
  <c r="F63" i="6"/>
  <c r="D61" i="6"/>
  <c r="G58" i="6"/>
  <c r="E56" i="6"/>
  <c r="C54" i="6"/>
  <c r="D49" i="6"/>
  <c r="C41" i="8" s="1"/>
  <c r="G46" i="6"/>
  <c r="E44" i="6"/>
  <c r="C42" i="6"/>
  <c r="E135" i="6"/>
  <c r="D6" i="8"/>
  <c r="G137" i="6"/>
  <c r="B6" i="8"/>
  <c r="F137" i="6"/>
  <c r="E137" i="6"/>
  <c r="D137" i="6"/>
  <c r="C137" i="6"/>
  <c r="G136" i="6"/>
  <c r="E134" i="6"/>
  <c r="C132" i="6"/>
  <c r="F129" i="6"/>
  <c r="D127" i="6"/>
  <c r="G124" i="6"/>
  <c r="E122" i="6"/>
  <c r="C120" i="6"/>
  <c r="F117" i="6"/>
  <c r="D115" i="6"/>
  <c r="G112" i="6"/>
  <c r="E110" i="6"/>
  <c r="C108" i="6"/>
  <c r="F105" i="6"/>
  <c r="D103" i="6"/>
  <c r="G100" i="6"/>
  <c r="E98" i="6"/>
  <c r="C96" i="6"/>
  <c r="F93" i="6"/>
  <c r="D91" i="6"/>
  <c r="G88" i="6"/>
  <c r="E86" i="6"/>
  <c r="C84" i="6"/>
  <c r="F81" i="6"/>
  <c r="D79" i="6"/>
  <c r="G76" i="6"/>
  <c r="E74" i="6"/>
  <c r="C72" i="6"/>
  <c r="F69" i="6"/>
  <c r="D67" i="6"/>
  <c r="G64" i="6"/>
  <c r="E62" i="6"/>
  <c r="C60" i="6"/>
  <c r="F57" i="6"/>
  <c r="D55" i="6"/>
  <c r="G52" i="6"/>
  <c r="E50" i="6"/>
  <c r="C48" i="6"/>
  <c r="F45" i="6"/>
  <c r="D43" i="6"/>
  <c r="C35" i="8" s="1"/>
  <c r="G40" i="6"/>
  <c r="F136" i="6"/>
  <c r="E136" i="6"/>
  <c r="E133" i="6"/>
  <c r="E130" i="6"/>
  <c r="F127" i="6"/>
  <c r="F124" i="6"/>
  <c r="G121" i="6"/>
  <c r="C119" i="6"/>
  <c r="C116" i="6"/>
  <c r="D113" i="6"/>
  <c r="D110" i="6"/>
  <c r="E107" i="6"/>
  <c r="F104" i="6"/>
  <c r="F101" i="6"/>
  <c r="G98" i="6"/>
  <c r="G95" i="6"/>
  <c r="C93" i="6"/>
  <c r="D87" i="6"/>
  <c r="E84" i="6"/>
  <c r="E81" i="6"/>
  <c r="F78" i="6"/>
  <c r="G75" i="6"/>
  <c r="G72" i="6"/>
  <c r="C70" i="6"/>
  <c r="C67" i="6"/>
  <c r="D64" i="6"/>
  <c r="E61" i="6"/>
  <c r="E58" i="6"/>
  <c r="F55" i="6"/>
  <c r="F52" i="6"/>
  <c r="G49" i="6"/>
  <c r="C47" i="6"/>
  <c r="C44" i="6"/>
  <c r="D41" i="6"/>
  <c r="C33" i="8" s="1"/>
  <c r="C133" i="6"/>
  <c r="D130" i="6"/>
  <c r="E127" i="6"/>
  <c r="E124" i="6"/>
  <c r="F121" i="6"/>
  <c r="F118" i="6"/>
  <c r="G115" i="6"/>
  <c r="C113" i="6"/>
  <c r="C110" i="6"/>
  <c r="D107" i="6"/>
  <c r="D104" i="6"/>
  <c r="E101" i="6"/>
  <c r="F98" i="6"/>
  <c r="F95" i="6"/>
  <c r="G92" i="6"/>
  <c r="G89" i="6"/>
  <c r="C87" i="6"/>
  <c r="D84" i="6"/>
  <c r="D81" i="6"/>
  <c r="E78" i="6"/>
  <c r="F72" i="6"/>
  <c r="G69" i="6"/>
  <c r="G66" i="6"/>
  <c r="C64" i="6"/>
  <c r="C61" i="6"/>
  <c r="D58" i="6"/>
  <c r="E52" i="6"/>
  <c r="F49" i="6"/>
  <c r="F46" i="6"/>
  <c r="G43" i="6"/>
  <c r="C41" i="6"/>
  <c r="D136" i="6"/>
  <c r="G132" i="6"/>
  <c r="C130" i="6"/>
  <c r="C127" i="6"/>
  <c r="D124" i="6"/>
  <c r="E121" i="6"/>
  <c r="E118" i="6"/>
  <c r="F115" i="6"/>
  <c r="F112" i="6"/>
  <c r="G109" i="6"/>
  <c r="C107" i="6"/>
  <c r="C104" i="6"/>
  <c r="D101" i="6"/>
  <c r="D98" i="6"/>
  <c r="E95" i="6"/>
  <c r="F89" i="6"/>
  <c r="G86" i="6"/>
  <c r="G83" i="6"/>
  <c r="C81" i="6"/>
  <c r="D78" i="6"/>
  <c r="E69" i="6"/>
  <c r="G63" i="6"/>
  <c r="G60" i="6"/>
  <c r="C58" i="6"/>
  <c r="C55" i="6"/>
  <c r="D52" i="6"/>
  <c r="E49" i="6"/>
  <c r="E46" i="6"/>
  <c r="F43" i="6"/>
  <c r="F40" i="6"/>
  <c r="C136" i="6"/>
  <c r="F132" i="6"/>
  <c r="G129" i="6"/>
  <c r="G126" i="6"/>
  <c r="C124" i="6"/>
  <c r="C121" i="6"/>
  <c r="D118" i="6"/>
  <c r="E115" i="6"/>
  <c r="E112" i="6"/>
  <c r="F109" i="6"/>
  <c r="F106" i="6"/>
  <c r="G103" i="6"/>
  <c r="C101" i="6"/>
  <c r="C98" i="6"/>
  <c r="D95" i="6"/>
  <c r="D92" i="6"/>
  <c r="E89" i="6"/>
  <c r="F86" i="6"/>
  <c r="F83" i="6"/>
  <c r="G80" i="6"/>
  <c r="G77" i="6"/>
  <c r="C75" i="6"/>
  <c r="D69" i="6"/>
  <c r="E63" i="6"/>
  <c r="F60" i="6"/>
  <c r="G57" i="6"/>
  <c r="G54" i="6"/>
  <c r="C52" i="6"/>
  <c r="C49" i="6"/>
  <c r="D46" i="6"/>
  <c r="C38" i="8" s="1"/>
  <c r="E43" i="6"/>
  <c r="E40" i="6"/>
  <c r="D135" i="6"/>
  <c r="E131" i="6"/>
  <c r="F126" i="6"/>
  <c r="G122" i="6"/>
  <c r="C118" i="6"/>
  <c r="D114" i="6"/>
  <c r="E109" i="6"/>
  <c r="E105" i="6"/>
  <c r="F100" i="6"/>
  <c r="G96" i="6"/>
  <c r="C92" i="6"/>
  <c r="D88" i="6"/>
  <c r="E83" i="6"/>
  <c r="F79" i="6"/>
  <c r="G74" i="6"/>
  <c r="C71" i="6"/>
  <c r="D62" i="6"/>
  <c r="E57" i="6"/>
  <c r="F53" i="6"/>
  <c r="G48" i="6"/>
  <c r="C45" i="6"/>
  <c r="D40" i="6"/>
  <c r="C32" i="8" s="1"/>
  <c r="C135" i="6"/>
  <c r="D131" i="6"/>
  <c r="E126" i="6"/>
  <c r="F122" i="6"/>
  <c r="G117" i="6"/>
  <c r="G113" i="6"/>
  <c r="C109" i="6"/>
  <c r="D105" i="6"/>
  <c r="E100" i="6"/>
  <c r="F96" i="6"/>
  <c r="G91" i="6"/>
  <c r="C88" i="6"/>
  <c r="D83" i="6"/>
  <c r="E79" i="6"/>
  <c r="F74" i="6"/>
  <c r="F70" i="6"/>
  <c r="G65" i="6"/>
  <c r="C62" i="6"/>
  <c r="D57" i="6"/>
  <c r="E53" i="6"/>
  <c r="F48" i="6"/>
  <c r="G44" i="6"/>
  <c r="C40" i="6"/>
  <c r="G134" i="6"/>
  <c r="C131" i="6"/>
  <c r="D126" i="6"/>
  <c r="D122" i="6"/>
  <c r="E117" i="6"/>
  <c r="F113" i="6"/>
  <c r="G108" i="6"/>
  <c r="C105" i="6"/>
  <c r="D100" i="6"/>
  <c r="E96" i="6"/>
  <c r="F91" i="6"/>
  <c r="G87" i="6"/>
  <c r="C83" i="6"/>
  <c r="C79" i="6"/>
  <c r="D74" i="6"/>
  <c r="E70" i="6"/>
  <c r="F65" i="6"/>
  <c r="G61" i="6"/>
  <c r="C57" i="6"/>
  <c r="D53" i="6"/>
  <c r="E48" i="6"/>
  <c r="F134" i="6"/>
  <c r="F130" i="6"/>
  <c r="G125" i="6"/>
  <c r="C122" i="6"/>
  <c r="D117" i="6"/>
  <c r="E113" i="6"/>
  <c r="F108" i="6"/>
  <c r="G104" i="6"/>
  <c r="C100" i="6"/>
  <c r="D96" i="6"/>
  <c r="E91" i="6"/>
  <c r="E87" i="6"/>
  <c r="F82" i="6"/>
  <c r="G78" i="6"/>
  <c r="C74" i="6"/>
  <c r="D70" i="6"/>
  <c r="E65" i="6"/>
  <c r="F61" i="6"/>
  <c r="G56" i="6"/>
  <c r="C53" i="6"/>
  <c r="D48" i="6"/>
  <c r="C40" i="8" s="1"/>
  <c r="D44" i="6"/>
  <c r="C36" i="8" s="1"/>
  <c r="D134" i="6"/>
  <c r="E129" i="6"/>
  <c r="F125" i="6"/>
  <c r="G120" i="6"/>
  <c r="C117" i="6"/>
  <c r="D112" i="6"/>
  <c r="E108" i="6"/>
  <c r="F103" i="6"/>
  <c r="G99" i="6"/>
  <c r="C95" i="6"/>
  <c r="C91" i="6"/>
  <c r="D86" i="6"/>
  <c r="E82" i="6"/>
  <c r="F77" i="6"/>
  <c r="G73" i="6"/>
  <c r="C69" i="6"/>
  <c r="D65" i="6"/>
  <c r="E60" i="6"/>
  <c r="F56" i="6"/>
  <c r="G51" i="6"/>
  <c r="G47" i="6"/>
  <c r="C43" i="6"/>
  <c r="C134" i="6"/>
  <c r="D129" i="6"/>
  <c r="E125" i="6"/>
  <c r="F120" i="6"/>
  <c r="G116" i="6"/>
  <c r="C112" i="6"/>
  <c r="D108" i="6"/>
  <c r="E103" i="6"/>
  <c r="E99" i="6"/>
  <c r="F94" i="6"/>
  <c r="G90" i="6"/>
  <c r="C86" i="6"/>
  <c r="D82" i="6"/>
  <c r="E77" i="6"/>
  <c r="F73" i="6"/>
  <c r="G68" i="6"/>
  <c r="C65" i="6"/>
  <c r="D60" i="6"/>
  <c r="D56" i="6"/>
  <c r="F47" i="6"/>
  <c r="G42" i="6"/>
  <c r="G133" i="6"/>
  <c r="C129" i="6"/>
  <c r="D125" i="6"/>
  <c r="E120" i="6"/>
  <c r="F116" i="6"/>
  <c r="G111" i="6"/>
  <c r="G107" i="6"/>
  <c r="C103" i="6"/>
  <c r="D99" i="6"/>
  <c r="E94" i="6"/>
  <c r="G85" i="6"/>
  <c r="C82" i="6"/>
  <c r="D77" i="6"/>
  <c r="E73" i="6"/>
  <c r="F68" i="6"/>
  <c r="F64" i="6"/>
  <c r="G59" i="6"/>
  <c r="C56" i="6"/>
  <c r="D51" i="6"/>
  <c r="C43" i="8" s="1"/>
  <c r="E47" i="6"/>
  <c r="F133" i="6"/>
  <c r="G128" i="6"/>
  <c r="C125" i="6"/>
  <c r="D120" i="6"/>
  <c r="D116" i="6"/>
  <c r="F107" i="6"/>
  <c r="G102" i="6"/>
  <c r="C99" i="6"/>
  <c r="D94" i="6"/>
  <c r="F85" i="6"/>
  <c r="G81" i="6"/>
  <c r="C77" i="6"/>
  <c r="C73" i="6"/>
  <c r="D68" i="6"/>
  <c r="E64" i="6"/>
  <c r="F59" i="6"/>
  <c r="G55" i="6"/>
  <c r="C51" i="6"/>
  <c r="D47" i="6"/>
  <c r="C39" i="8" s="1"/>
  <c r="E42" i="6"/>
  <c r="E132" i="6"/>
  <c r="G123" i="6"/>
  <c r="G119" i="6"/>
  <c r="C115" i="6"/>
  <c r="E106" i="6"/>
  <c r="F102" i="6"/>
  <c r="G97" i="6"/>
  <c r="C94" i="6"/>
  <c r="D89" i="6"/>
  <c r="E85" i="6"/>
  <c r="F80" i="6"/>
  <c r="F76" i="6"/>
  <c r="G71" i="6"/>
  <c r="C68" i="6"/>
  <c r="D63" i="6"/>
  <c r="E59" i="6"/>
  <c r="F54" i="6"/>
  <c r="G50" i="6"/>
  <c r="C46" i="6"/>
  <c r="G41" i="6"/>
  <c r="D132" i="6"/>
  <c r="E123" i="6"/>
  <c r="F119" i="6"/>
  <c r="G114" i="6"/>
  <c r="C111" i="6"/>
  <c r="D106" i="6"/>
  <c r="E102" i="6"/>
  <c r="F97" i="6"/>
  <c r="G93" i="6"/>
  <c r="C89" i="6"/>
  <c r="C85" i="6"/>
  <c r="D80" i="6"/>
  <c r="E76" i="6"/>
  <c r="F71" i="6"/>
  <c r="G67" i="6"/>
  <c r="C63" i="6"/>
  <c r="D59" i="6"/>
  <c r="E54" i="6"/>
  <c r="F50" i="6"/>
  <c r="G45" i="6"/>
  <c r="G131" i="6"/>
  <c r="C106" i="6"/>
  <c r="C80" i="6"/>
  <c r="D54" i="6"/>
  <c r="F131" i="6"/>
  <c r="G105" i="6"/>
  <c r="G79" i="6"/>
  <c r="G53" i="6"/>
  <c r="C128" i="6"/>
  <c r="D102" i="6"/>
  <c r="D76" i="6"/>
  <c r="D50" i="6"/>
  <c r="C42" i="8" s="1"/>
  <c r="G127" i="6"/>
  <c r="G101" i="6"/>
  <c r="C76" i="6"/>
  <c r="C50" i="6"/>
  <c r="D123" i="6"/>
  <c r="F88" i="6"/>
  <c r="E45" i="6"/>
  <c r="C123" i="6"/>
  <c r="E88" i="6"/>
  <c r="D45" i="6"/>
  <c r="C37" i="8" s="1"/>
  <c r="H2" i="4"/>
  <c r="E71" i="6"/>
  <c r="E119" i="6"/>
  <c r="G84" i="6"/>
  <c r="F41" i="6"/>
  <c r="D119" i="6"/>
  <c r="F84" i="6"/>
  <c r="E41" i="6"/>
  <c r="F114" i="6"/>
  <c r="H38" i="4"/>
  <c r="H74" i="4"/>
  <c r="H95" i="4"/>
  <c r="H113" i="4"/>
  <c r="H131" i="4"/>
  <c r="H149" i="4"/>
  <c r="H167" i="4"/>
  <c r="H185" i="4"/>
  <c r="H203" i="4"/>
  <c r="C12" i="5" s="1"/>
  <c r="H912" i="4"/>
  <c r="F58" i="6"/>
  <c r="G110" i="6"/>
  <c r="F6" i="8"/>
  <c r="H35" i="4"/>
  <c r="H71" i="4"/>
  <c r="H221" i="4"/>
  <c r="H239" i="4"/>
  <c r="H257" i="4"/>
  <c r="H275" i="4"/>
  <c r="H293" i="4"/>
  <c r="H311" i="4"/>
  <c r="H329" i="4"/>
  <c r="H347" i="4"/>
  <c r="H374" i="4"/>
  <c r="G402" i="4"/>
  <c r="E14" i="6" s="1"/>
  <c r="H419" i="4"/>
  <c r="H485" i="4"/>
  <c r="H527" i="4"/>
  <c r="C59" i="6"/>
  <c r="E114" i="6"/>
  <c r="H359" i="4"/>
  <c r="H395" i="4"/>
  <c r="H431" i="4"/>
  <c r="H467" i="4"/>
  <c r="H503" i="4"/>
  <c r="H539" i="4"/>
  <c r="H575" i="4"/>
  <c r="H841" i="4"/>
  <c r="H859" i="4"/>
  <c r="H958" i="4"/>
  <c r="D35" i="6"/>
  <c r="H356" i="4"/>
  <c r="H392" i="4"/>
  <c r="H428" i="4"/>
  <c r="H464" i="4"/>
  <c r="H500" i="4"/>
  <c r="H536" i="4"/>
  <c r="H572" i="4"/>
  <c r="H353" i="4"/>
  <c r="H389" i="4"/>
  <c r="H425" i="4"/>
  <c r="H461" i="4"/>
  <c r="H497" i="4"/>
  <c r="H533" i="4"/>
  <c r="H569" i="4"/>
  <c r="H820" i="4"/>
  <c r="G823" i="4"/>
  <c r="E16" i="6" s="1"/>
  <c r="G875" i="4"/>
  <c r="F21" i="6" s="1"/>
  <c r="H823" i="4"/>
  <c r="H860" i="4"/>
  <c r="H874" i="4"/>
  <c r="G877" i="4"/>
  <c r="D90" i="6" s="1"/>
  <c r="H848" i="4"/>
  <c r="H897" i="4"/>
  <c r="H920" i="4"/>
  <c r="G881" i="4"/>
  <c r="F92" i="6" s="1"/>
  <c r="H814" i="4"/>
  <c r="H832" i="4"/>
  <c r="H850" i="4"/>
  <c r="H868" i="4"/>
  <c r="H886" i="4"/>
  <c r="H911" i="4"/>
  <c r="E26" i="6"/>
  <c r="C35" i="6"/>
  <c r="F26" i="6"/>
  <c r="E30" i="6"/>
  <c r="H956" i="4"/>
  <c r="C20" i="6"/>
  <c r="F17" i="6"/>
  <c r="D15" i="6"/>
  <c r="C25" i="8" s="1"/>
  <c r="G12" i="6"/>
  <c r="E10" i="6"/>
  <c r="C8" i="6"/>
  <c r="D34" i="6"/>
  <c r="E31" i="6"/>
  <c r="F28" i="6"/>
  <c r="F25" i="6"/>
  <c r="G22" i="6"/>
  <c r="G19" i="6"/>
  <c r="C17" i="6"/>
  <c r="C34" i="6"/>
  <c r="D31" i="6"/>
  <c r="D28" i="6"/>
  <c r="F22" i="6"/>
  <c r="F19" i="6"/>
  <c r="G16" i="6"/>
  <c r="G13" i="6"/>
  <c r="C11" i="6"/>
  <c r="D8" i="6"/>
  <c r="C18" i="8" s="1"/>
  <c r="G33" i="6"/>
  <c r="C31" i="6"/>
  <c r="C28" i="6"/>
  <c r="D22" i="6"/>
  <c r="E19" i="6"/>
  <c r="F13" i="6"/>
  <c r="G10" i="6"/>
  <c r="G7" i="6"/>
  <c r="F33" i="6"/>
  <c r="F30" i="6"/>
  <c r="G27" i="6"/>
  <c r="C25" i="6"/>
  <c r="C22" i="6"/>
  <c r="D19" i="6"/>
  <c r="E13" i="6"/>
  <c r="F10" i="6"/>
  <c r="F7" i="6"/>
  <c r="H826" i="4"/>
  <c r="H844" i="4"/>
  <c r="H862" i="4"/>
  <c r="H880" i="4"/>
  <c r="H890" i="4"/>
  <c r="H895" i="4"/>
  <c r="H900" i="4"/>
  <c r="G903" i="4"/>
  <c r="D42" i="6" s="1"/>
  <c r="C34" i="8" s="1"/>
  <c r="H923" i="4"/>
  <c r="H928" i="4"/>
  <c r="G936" i="4"/>
  <c r="F44" i="6" s="1"/>
  <c r="H961" i="4"/>
  <c r="H978" i="4"/>
  <c r="G9" i="6"/>
  <c r="D18" i="6"/>
  <c r="C28" i="8" s="1"/>
  <c r="C23" i="6"/>
  <c r="G26" i="6"/>
  <c r="F31" i="6"/>
  <c r="E35" i="6"/>
  <c r="C10" i="6"/>
  <c r="E18" i="6"/>
  <c r="D23" i="6"/>
  <c r="C27" i="6"/>
  <c r="G31" i="6"/>
  <c r="G35" i="6"/>
  <c r="D10" i="6"/>
  <c r="C20" i="8" s="1"/>
  <c r="G14" i="6"/>
  <c r="F18" i="6"/>
  <c r="E23" i="6"/>
  <c r="E27" i="6"/>
  <c r="D32" i="6"/>
  <c r="G826" i="4"/>
  <c r="G844" i="4"/>
  <c r="D128" i="6" s="1"/>
  <c r="G862" i="4"/>
  <c r="D75" i="6" s="1"/>
  <c r="G880" i="4"/>
  <c r="H892" i="4"/>
  <c r="G900" i="4"/>
  <c r="E55" i="6" s="1"/>
  <c r="H925" i="4"/>
  <c r="H942" i="4"/>
  <c r="H950" i="4"/>
  <c r="H975" i="4"/>
  <c r="H980" i="4"/>
  <c r="C7" i="6"/>
  <c r="D11" i="6"/>
  <c r="C21" i="8" s="1"/>
  <c r="C15" i="6"/>
  <c r="C19" i="6"/>
  <c r="G23" i="6"/>
  <c r="F27" i="6"/>
  <c r="E32" i="6"/>
  <c r="H896" i="4"/>
  <c r="H932" i="4"/>
  <c r="H968" i="4"/>
  <c r="H893" i="4"/>
  <c r="H929" i="4"/>
  <c r="H965" i="4"/>
  <c r="E22" i="6"/>
  <c r="G24" i="6"/>
  <c r="D27" i="6"/>
  <c r="F29" i="6"/>
  <c r="C32" i="6"/>
  <c r="E34" i="6"/>
  <c r="D9" i="6"/>
  <c r="C19" i="8" s="1"/>
  <c r="F11" i="6"/>
  <c r="C14" i="6"/>
  <c r="G18" i="6"/>
  <c r="F23" i="6"/>
  <c r="C26" i="6"/>
  <c r="E28" i="6"/>
  <c r="G30" i="6"/>
  <c r="D33" i="6"/>
  <c r="F35" i="6"/>
  <c r="F75" i="6" l="1"/>
  <c r="D30" i="6"/>
  <c r="F12" i="6"/>
  <c r="F14" i="6"/>
  <c r="E25" i="6"/>
  <c r="E66" i="6"/>
  <c r="E72" i="6"/>
  <c r="F51" i="6"/>
  <c r="D20" i="6"/>
  <c r="F111" i="6"/>
  <c r="E20" i="6"/>
  <c r="D12" i="6"/>
  <c r="C22" i="8" s="1"/>
  <c r="E111" i="6"/>
  <c r="F16" i="6"/>
  <c r="D111" i="6"/>
  <c r="E75" i="6"/>
  <c r="F90" i="6"/>
  <c r="D72" i="6"/>
  <c r="D8" i="7"/>
  <c r="D66" i="6"/>
  <c r="F66" i="6"/>
  <c r="D21" i="6"/>
  <c r="D16" i="6"/>
  <c r="C26" i="8" s="1"/>
  <c r="F128" i="6"/>
  <c r="F42" i="6"/>
  <c r="E51" i="6"/>
  <c r="C13" i="5"/>
  <c r="D14" i="6"/>
  <c r="C24" i="8" s="1"/>
  <c r="E90" i="6"/>
  <c r="E92" i="6"/>
  <c r="E21" i="6"/>
  <c r="C11" i="7" l="1"/>
  <c r="D23" i="7"/>
  <c r="D26" i="7" s="1"/>
  <c r="C17" i="7"/>
  <c r="C16" i="7"/>
  <c r="C15" i="7"/>
  <c r="C14" i="7"/>
  <c r="C13" i="7"/>
  <c r="C12" i="7"/>
</calcChain>
</file>

<file path=xl/sharedStrings.xml><?xml version="1.0" encoding="utf-8"?>
<sst xmlns="http://schemas.openxmlformats.org/spreadsheetml/2006/main" count="8911" uniqueCount="3131">
  <si>
    <t>Indeed US Salaries — Excel Portfolio Project</t>
  </si>
  <si>
    <t>Pivot Tables · What-If Analysis · INDEX/MATCH &amp; Lookup Functions · Macros &amp; VBA</t>
  </si>
  <si>
    <t>Dataset</t>
  </si>
  <si>
    <t>979 rows of median salary data scraped from Indeed, covering 98 US companies and 29 job categories.</t>
  </si>
  <si>
    <t>Source file</t>
  </si>
  <si>
    <t>indeed_salaries_us_companies.csv (loaded unedited into the Raw_Data sheet)</t>
  </si>
  <si>
    <t>Goal</t>
  </si>
  <si>
    <t>Demonstrate a realistic end-to-end Excel analysis workflow for a portfolio: clean data, look values up, summarize with a pivot table, run what-if / sensitivity analysis, and automate reporting with VBA.</t>
  </si>
  <si>
    <t>Workbook map</t>
  </si>
  <si>
    <t>Raw_Data</t>
  </si>
  <si>
    <t>Original CSV, untouched, as an Excel Table (RawDataTable).</t>
  </si>
  <si>
    <t>Multiplier_Lookup</t>
  </si>
  <si>
    <t>Small reference table (HOURLY/WEEKLY/MONTHLY/YEARLY -&gt; annual multiplier) used by INDEX/MATCH.</t>
  </si>
  <si>
    <t>Cleaned_Data</t>
  </si>
  <si>
    <t>Raw data + an AnnualSalary column normalized to a yearly figure via INDEX/MATCH, plus a lookup Key column.</t>
  </si>
  <si>
    <t>Lookup_Exercises</t>
  </si>
  <si>
    <t>Live INDEX/MATCH, VLOOKUP and HLOOKUP exercises - pick a company/job from dropdowns and watch results update.</t>
  </si>
  <si>
    <t>Pivot_Summary</t>
  </si>
  <si>
    <t>A formula-built ('manual') pivot by Category and by Company, plus steps to build a real native PivotTable.</t>
  </si>
  <si>
    <t>What_If_Analysis</t>
  </si>
  <si>
    <t>A raise-percentage sensitivity table, Goal Seek setup, and Scenario Manager setup, with click-by-click steps.</t>
  </si>
  <si>
    <t>Dashboard</t>
  </si>
  <si>
    <t>KPI cards, a company-selector dropdown, and two charts summarizing the data.</t>
  </si>
  <si>
    <t>VBA_Macros</t>
  </si>
  <si>
    <t>Full VBA source for 3 macros (clean &amp; convert data, auto-generate a summary report, refresh the dashboard) + setup steps.</t>
  </si>
  <si>
    <t>Important note on the VBA/macros</t>
  </si>
  <si>
    <t>This file is saved as .xlsx, which cannot store runnable macros (Excel requires the .xlsm format for that, and a macro project has to be compiled inside Excel itself). The VBA_Macros sheet contains the complete, ready-to-run source code. To activate it: open this file in Excel, Save As -&gt; 'Excel Macro-Enabled Workbook (*.xlsm)', then press Alt+F11, insert a Module, and paste in the code. Full steps are on that sheet.</t>
  </si>
  <si>
    <t>company</t>
  </si>
  <si>
    <t>companySlug</t>
  </si>
  <si>
    <t>category</t>
  </si>
  <si>
    <t>jobTitle</t>
  </si>
  <si>
    <t>normalizedJobTitle</t>
  </si>
  <si>
    <t>medianSalary</t>
  </si>
  <si>
    <t>medianSalaryText</t>
  </si>
  <si>
    <t>salaryPeriod</t>
  </si>
  <si>
    <t>reportedSalaryCount</t>
  </si>
  <si>
    <t>url</t>
  </si>
  <si>
    <t>matchedInput</t>
  </si>
  <si>
    <t>Walmart</t>
  </si>
  <si>
    <t>Pharmacy</t>
  </si>
  <si>
    <t>Pharmacy Technician</t>
  </si>
  <si>
    <t>pharmacy technician</t>
  </si>
  <si>
    <t>$18.71</t>
  </si>
  <si>
    <t>HOURLY</t>
  </si>
  <si>
    <t>https://www.indeed.com/cmp/Walmart/salaries/Pharmacy-Technician</t>
  </si>
  <si>
    <t>Certified Pharmacy Technician</t>
  </si>
  <si>
    <t>certified pharmacy technician</t>
  </si>
  <si>
    <t>$20.28</t>
  </si>
  <si>
    <t>https://www.indeed.com/cmp/Walmart/salaries/Certified-Pharmacy-Technician</t>
  </si>
  <si>
    <t>Pharmacist</t>
  </si>
  <si>
    <t>pharmacist</t>
  </si>
  <si>
    <t>$49.16</t>
  </si>
  <si>
    <t>https://www.indeed.com/cmp/Walmart/salaries/Pharmacist</t>
  </si>
  <si>
    <t>Staff Pharmacist</t>
  </si>
  <si>
    <t>staff pharmacist</t>
  </si>
  <si>
    <t>$64.30</t>
  </si>
  <si>
    <t>https://www.indeed.com/cmp/Walmart/salaries/Staff-Pharmacist</t>
  </si>
  <si>
    <t>Pharmacy Manager</t>
  </si>
  <si>
    <t>pharmacy manager</t>
  </si>
  <si>
    <t>$49.06</t>
  </si>
  <si>
    <t>Pharmacy Assistant</t>
  </si>
  <si>
    <t>pharmacy assistant</t>
  </si>
  <si>
    <t>$16.12</t>
  </si>
  <si>
    <t>https://www.indeed.com/cmp/Walmart/salaries/Pharmacy-Assistant</t>
  </si>
  <si>
    <t>Pharmacy Intern</t>
  </si>
  <si>
    <t>pharmacy intern</t>
  </si>
  <si>
    <t>$23.75</t>
  </si>
  <si>
    <t>https://www.indeed.com/cmp/Walmart/salaries/Pharmacy-Intern</t>
  </si>
  <si>
    <t>Pharmacist in Charge</t>
  </si>
  <si>
    <t>pharmacist in charge</t>
  </si>
  <si>
    <t>$59.53</t>
  </si>
  <si>
    <t>https://www.indeed.com/cmp/Walmart/salaries/Pharmacist-in-Charge</t>
  </si>
  <si>
    <t>Pharmacy Clerk</t>
  </si>
  <si>
    <t>pharmacy clerk</t>
  </si>
  <si>
    <t>$17.79</t>
  </si>
  <si>
    <t>Pharmacy Technician Intern</t>
  </si>
  <si>
    <t>pharmacy technician intern</t>
  </si>
  <si>
    <t>$17.32</t>
  </si>
  <si>
    <t>Amazon.com</t>
  </si>
  <si>
    <t>Amazon</t>
  </si>
  <si>
    <t>Loading and Stocking</t>
  </si>
  <si>
    <t>Warehouse Worker</t>
  </si>
  <si>
    <t>warehouse worker</t>
  </si>
  <si>
    <t>$18.49</t>
  </si>
  <si>
    <t>https://www.indeed.com/cmp/Amazon.com/salaries/Warehouse-Worker</t>
  </si>
  <si>
    <t>Warehouse Associate</t>
  </si>
  <si>
    <t>warehouse associate</t>
  </si>
  <si>
    <t>$19.28</t>
  </si>
  <si>
    <t>https://www.indeed.com/cmp/Amazon.com/salaries/Warehouse-Associate</t>
  </si>
  <si>
    <t>Fulfillment Associate</t>
  </si>
  <si>
    <t>fulfillment associate</t>
  </si>
  <si>
    <t>$19.21</t>
  </si>
  <si>
    <t>https://www.indeed.com/cmp/Amazon.com/salaries/Fulfillment-Associate</t>
  </si>
  <si>
    <t>Packer</t>
  </si>
  <si>
    <t>packer</t>
  </si>
  <si>
    <t>$19.19</t>
  </si>
  <si>
    <t>Order Picker</t>
  </si>
  <si>
    <t>order picker</t>
  </si>
  <si>
    <t>$18.39</t>
  </si>
  <si>
    <t>https://www.indeed.com/cmp/Amazon.com/salaries/Order-Picker</t>
  </si>
  <si>
    <t>Stower</t>
  </si>
  <si>
    <t>stower</t>
  </si>
  <si>
    <t>$18.07</t>
  </si>
  <si>
    <t>https://www.indeed.com/cmp/Amazon.com/salaries/Stower</t>
  </si>
  <si>
    <t>Package Handler</t>
  </si>
  <si>
    <t>package handler</t>
  </si>
  <si>
    <t>$18.18</t>
  </si>
  <si>
    <t>https://www.indeed.com/cmp/Amazon.com/salaries/Package-Handler</t>
  </si>
  <si>
    <t>Merchandise Flow Team Member</t>
  </si>
  <si>
    <t>merchandise flow team member</t>
  </si>
  <si>
    <t>$25.15</t>
  </si>
  <si>
    <t>Sorter</t>
  </si>
  <si>
    <t>sorter</t>
  </si>
  <si>
    <t>$17.72</t>
  </si>
  <si>
    <t>https://www.indeed.com/cmp/Amazon.com/salaries/Sorter</t>
  </si>
  <si>
    <t>Problem Solver</t>
  </si>
  <si>
    <t>problem solver</t>
  </si>
  <si>
    <t>$17.10</t>
  </si>
  <si>
    <t>https://www.indeed.com/cmp/Amazon.com/salaries/Problem-Solver</t>
  </si>
  <si>
    <t>McDonald's</t>
  </si>
  <si>
    <t>Instalación y mantenimiento</t>
  </si>
  <si>
    <t>Maintenance Person</t>
  </si>
  <si>
    <t>maintenance person</t>
  </si>
  <si>
    <t>$16.23</t>
  </si>
  <si>
    <t>https://www.indeed.com/cmp/McDonald's/salaries/Maintenance-Person</t>
  </si>
  <si>
    <t>HVAC Technician</t>
  </si>
  <si>
    <t>hvac technician</t>
  </si>
  <si>
    <t>$21.35</t>
  </si>
  <si>
    <t>Maintenance Technician</t>
  </si>
  <si>
    <t>maintenance technician</t>
  </si>
  <si>
    <t>$18.94</t>
  </si>
  <si>
    <t>https://www.indeed.com/cmp/McDonald's/salaries/Maintenance-Technician</t>
  </si>
  <si>
    <t>Building Maintenance</t>
  </si>
  <si>
    <t>building maintenance</t>
  </si>
  <si>
    <t>$20.20</t>
  </si>
  <si>
    <t>https://www.indeed.com/cmp/McDonald's/salaries/Building-Maintenance</t>
  </si>
  <si>
    <t>Groundskeeper</t>
  </si>
  <si>
    <t>groundskeeper</t>
  </si>
  <si>
    <t>$13.76</t>
  </si>
  <si>
    <t>https://www.indeed.com/cmp/McDonald's/salaries/Groundskeeper</t>
  </si>
  <si>
    <t>Equipment Repair Technician</t>
  </si>
  <si>
    <t>equipment repair technician</t>
  </si>
  <si>
    <t>$26.83</t>
  </si>
  <si>
    <t>https://www.indeed.com/cmp/McDonald's/salaries/Equipment-Repair-Technician</t>
  </si>
  <si>
    <t>Refrigeration Technician</t>
  </si>
  <si>
    <t>refrigeration technician</t>
  </si>
  <si>
    <t>$37.03</t>
  </si>
  <si>
    <t>Facilities Maintenance Technician</t>
  </si>
  <si>
    <t>facilities maintenance technician</t>
  </si>
  <si>
    <t>$20.09</t>
  </si>
  <si>
    <t>https://www.indeed.com/cmp/McDonald's/salaries/Facilities-Maintenance-Technician</t>
  </si>
  <si>
    <t>Equipment Technician</t>
  </si>
  <si>
    <t>equipment technician</t>
  </si>
  <si>
    <t>$26.86</t>
  </si>
  <si>
    <t>Field Service Technician</t>
  </si>
  <si>
    <t>field service technician</t>
  </si>
  <si>
    <t>$22.00</t>
  </si>
  <si>
    <t>Target</t>
  </si>
  <si>
    <t>Food Preparation &amp; Service</t>
  </si>
  <si>
    <t>Barista</t>
  </si>
  <si>
    <t>barista</t>
  </si>
  <si>
    <t>$16.16</t>
  </si>
  <si>
    <t>https://www.indeed.com/cmp/Target/salaries/Barista</t>
  </si>
  <si>
    <t>Food &amp; Beverage Team Leader</t>
  </si>
  <si>
    <t>food &amp; beverage team leader</t>
  </si>
  <si>
    <t>$29.19</t>
  </si>
  <si>
    <t>https://www.indeed.com/cmp/Target/salaries/Food-&amp;-Beverage-Team-Leader</t>
  </si>
  <si>
    <t>Back of House Team Member</t>
  </si>
  <si>
    <t>back of house team member</t>
  </si>
  <si>
    <t>$10.80</t>
  </si>
  <si>
    <t>https://www.indeed.com/cmp/Target/salaries/Back-of-House-Team-Member</t>
  </si>
  <si>
    <t>Service Leader</t>
  </si>
  <si>
    <t>service leader</t>
  </si>
  <si>
    <t>$28.26</t>
  </si>
  <si>
    <t>https://www.indeed.com/cmp/Target/salaries/Service-Leader</t>
  </si>
  <si>
    <t>Food Service Worker</t>
  </si>
  <si>
    <t>food service worker</t>
  </si>
  <si>
    <t>$16.29</t>
  </si>
  <si>
    <t>https://www.indeed.com/cmp/Target/salaries/Food-Service-Worker</t>
  </si>
  <si>
    <t>Deli Associate</t>
  </si>
  <si>
    <t>deli associate</t>
  </si>
  <si>
    <t>$14.76</t>
  </si>
  <si>
    <t>https://www.indeed.com/cmp/Target/salaries/Deli-Associate</t>
  </si>
  <si>
    <t>Food Service Associate</t>
  </si>
  <si>
    <t>food service associate</t>
  </si>
  <si>
    <t>$16.87</t>
  </si>
  <si>
    <t>https://www.indeed.com/cmp/Target/salaries/Food-Service-Associate</t>
  </si>
  <si>
    <t>Director of Food and Beverage</t>
  </si>
  <si>
    <t>director of food and beverage</t>
  </si>
  <si>
    <t>$17.20</t>
  </si>
  <si>
    <t>Bakery Team Leader</t>
  </si>
  <si>
    <t>bakery team leader</t>
  </si>
  <si>
    <t>$23.05</t>
  </si>
  <si>
    <t>Kitchen Team Member</t>
  </si>
  <si>
    <t>kitchen team member</t>
  </si>
  <si>
    <t>$98,502</t>
  </si>
  <si>
    <t>YEARLY</t>
  </si>
  <si>
    <t>Starbucks</t>
  </si>
  <si>
    <t>Retail</t>
  </si>
  <si>
    <t>Store Manager</t>
  </si>
  <si>
    <t>store manager</t>
  </si>
  <si>
    <t>$72,109</t>
  </si>
  <si>
    <t>https://www.indeed.com/cmp/Starbucks/salaries/Store-Manager</t>
  </si>
  <si>
    <t>Assistant Store Manager</t>
  </si>
  <si>
    <t>assistant store manager</t>
  </si>
  <si>
    <t>$51,921</t>
  </si>
  <si>
    <t>https://www.indeed.com/cmp/Starbucks/salaries/Assistant-Store-Manager</t>
  </si>
  <si>
    <t>Cashier</t>
  </si>
  <si>
    <t>cashier</t>
  </si>
  <si>
    <t>$14.65</t>
  </si>
  <si>
    <t>https://www.indeed.com/cmp/Starbucks/salaries/Cashier</t>
  </si>
  <si>
    <t>Retail Assistant Manager</t>
  </si>
  <si>
    <t>retail assistant manager</t>
  </si>
  <si>
    <t>$17.96</t>
  </si>
  <si>
    <t>Retail Store Manager</t>
  </si>
  <si>
    <t>retail store manager</t>
  </si>
  <si>
    <t>$60,529</t>
  </si>
  <si>
    <t>https://www.indeed.com/cmp/Starbucks/salaries/Retail-Store-Manager</t>
  </si>
  <si>
    <t>Retail Sales Associate</t>
  </si>
  <si>
    <t>retail sales associate</t>
  </si>
  <si>
    <t>$68,333</t>
  </si>
  <si>
    <t>Customer Service Associate / Cashier</t>
  </si>
  <si>
    <t>customer service associate / cashier</t>
  </si>
  <si>
    <t>$16.65</t>
  </si>
  <si>
    <t>Stocking Associate</t>
  </si>
  <si>
    <t>stocking associate</t>
  </si>
  <si>
    <t>$19.90</t>
  </si>
  <si>
    <t>Store Director</t>
  </si>
  <si>
    <t>store director</t>
  </si>
  <si>
    <t>$64,809</t>
  </si>
  <si>
    <t>Produce Manager</t>
  </si>
  <si>
    <t>produce manager</t>
  </si>
  <si>
    <t>$18.97</t>
  </si>
  <si>
    <t>The Home Depot</t>
  </si>
  <si>
    <t>The-Home-Depot</t>
  </si>
  <si>
    <t>Management</t>
  </si>
  <si>
    <t>Manager</t>
  </si>
  <si>
    <t>manager</t>
  </si>
  <si>
    <t>$114,214</t>
  </si>
  <si>
    <t>https://www.indeed.com/cmp/The-Home-Depot/salaries/Manager</t>
  </si>
  <si>
    <t>Supervisor</t>
  </si>
  <si>
    <t>supervisor</t>
  </si>
  <si>
    <t>$60,587</t>
  </si>
  <si>
    <t>https://www.indeed.com/cmp/The-Home-Depot/salaries/Supervisor</t>
  </si>
  <si>
    <t>Operations Manager</t>
  </si>
  <si>
    <t>operations manager</t>
  </si>
  <si>
    <t>$83,227</t>
  </si>
  <si>
    <t>https://www.indeed.com/cmp/The-Home-Depot/salaries/Operations-Manager</t>
  </si>
  <si>
    <t>Senior Manager</t>
  </si>
  <si>
    <t>senior manager</t>
  </si>
  <si>
    <t>$165,505</t>
  </si>
  <si>
    <t>https://www.indeed.com/cmp/The-Home-Depot/salaries/Senior-Manager</t>
  </si>
  <si>
    <t>Director</t>
  </si>
  <si>
    <t>director</t>
  </si>
  <si>
    <t>$191,558</t>
  </si>
  <si>
    <t>Assistant Manager</t>
  </si>
  <si>
    <t>assistant manager</t>
  </si>
  <si>
    <t>$69,671</t>
  </si>
  <si>
    <t>https://www.indeed.com/cmp/The-Home-Depot/salaries/Assistant-Manager</t>
  </si>
  <si>
    <t>Area Supervisor</t>
  </si>
  <si>
    <t>area supervisor</t>
  </si>
  <si>
    <t>$66,066</t>
  </si>
  <si>
    <t>https://www.indeed.com/cmp/The-Home-Depot/salaries/Area-Supervisor</t>
  </si>
  <si>
    <t>Project Leader</t>
  </si>
  <si>
    <t>project leader</t>
  </si>
  <si>
    <t>$104,584</t>
  </si>
  <si>
    <t>https://www.indeed.com/cmp/The-Home-Depot/salaries/Project-Leader</t>
  </si>
  <si>
    <t>Call Center Supervisor</t>
  </si>
  <si>
    <t>call center supervisor</t>
  </si>
  <si>
    <t>$62,197</t>
  </si>
  <si>
    <t>Logistics Manager</t>
  </si>
  <si>
    <t>logistics manager</t>
  </si>
  <si>
    <t>$108,749</t>
  </si>
  <si>
    <t>https://www.indeed.com/cmp/The-Home-Depot/salaries/Logistics-Manager</t>
  </si>
  <si>
    <t>Walgreens</t>
  </si>
  <si>
    <t>$18.26</t>
  </si>
  <si>
    <t>https://www.indeed.com/cmp/Walgreens/salaries/Fulfillment-Associate</t>
  </si>
  <si>
    <t>$15.54</t>
  </si>
  <si>
    <t>https://www.indeed.com/cmp/Walgreens/salaries/Warehouse-Worker</t>
  </si>
  <si>
    <t>$15.67</t>
  </si>
  <si>
    <t>https://www.indeed.com/cmp/Walgreens/salaries/Packer</t>
  </si>
  <si>
    <t>$16.10</t>
  </si>
  <si>
    <t>https://www.indeed.com/cmp/Walgreens/salaries/Warehouse-Associate</t>
  </si>
  <si>
    <t>Order Filler</t>
  </si>
  <si>
    <t>order filler</t>
  </si>
  <si>
    <t>$16.31</t>
  </si>
  <si>
    <t>https://www.indeed.com/cmp/Walgreens/salaries/Order-Filler</t>
  </si>
  <si>
    <t>$15.49</t>
  </si>
  <si>
    <t>https://www.indeed.com/cmp/Walgreens/salaries/Package-Handler</t>
  </si>
  <si>
    <t>Warehouse Specialist</t>
  </si>
  <si>
    <t>warehouse specialist</t>
  </si>
  <si>
    <t>$15.90</t>
  </si>
  <si>
    <t>https://www.indeed.com/cmp/Walgreens/salaries/Warehouse-Specialist</t>
  </si>
  <si>
    <t>Distribution Center Supervisor</t>
  </si>
  <si>
    <t>distribution center supervisor</t>
  </si>
  <si>
    <t>$74,900</t>
  </si>
  <si>
    <t>https://www.indeed.com/cmp/Walgreens/salaries/Distribution-Center-Supervisor</t>
  </si>
  <si>
    <t>Distribution Associate</t>
  </si>
  <si>
    <t>distribution associate</t>
  </si>
  <si>
    <t>$15.45</t>
  </si>
  <si>
    <t>https://www.indeed.com/cmp/Walgreens/salaries/Distribution-Associate</t>
  </si>
  <si>
    <t>Warehouse Lead</t>
  </si>
  <si>
    <t>warehouse lead</t>
  </si>
  <si>
    <t>$23.39</t>
  </si>
  <si>
    <t>https://www.indeed.com/cmp/Walgreens/salaries/Warehouse-Lead</t>
  </si>
  <si>
    <t>CVS Health</t>
  </si>
  <si>
    <t>CVS-Health</t>
  </si>
  <si>
    <t>$16.19</t>
  </si>
  <si>
    <t>https://www.indeed.com/cmp/CVS-Health/salaries/Retail-Sales-Associate</t>
  </si>
  <si>
    <t>$23.31</t>
  </si>
  <si>
    <t>https://www.indeed.com/cmp/CVS-Health/salaries/Store-Manager</t>
  </si>
  <si>
    <t>$23.17</t>
  </si>
  <si>
    <t>https://www.indeed.com/cmp/CVS-Health/salaries/Retail-Store-Manager</t>
  </si>
  <si>
    <t>Beauty Sales Consultant</t>
  </si>
  <si>
    <t>beauty sales consultant</t>
  </si>
  <si>
    <t>$21.12</t>
  </si>
  <si>
    <t>https://www.indeed.com/cmp/CVS-Health/salaries/Beauty-Sales-Consultant</t>
  </si>
  <si>
    <t>$17.86</t>
  </si>
  <si>
    <t>https://www.indeed.com/cmp/CVS-Health/salaries/Cashier</t>
  </si>
  <si>
    <t>Beauty Consultant</t>
  </si>
  <si>
    <t>beauty consultant</t>
  </si>
  <si>
    <t>$20.93</t>
  </si>
  <si>
    <t>https://www.indeed.com/cmp/CVS-Health/salaries/Beauty-Consultant</t>
  </si>
  <si>
    <t>Cashier/Sales</t>
  </si>
  <si>
    <t>cashier/sales</t>
  </si>
  <si>
    <t>$14.67</t>
  </si>
  <si>
    <t>https://www.indeed.com/cmp/CVS-Health/salaries/Cashier-Sales</t>
  </si>
  <si>
    <t>Beauty Advisor</t>
  </si>
  <si>
    <t>beauty advisor</t>
  </si>
  <si>
    <t>$17.52</t>
  </si>
  <si>
    <t>https://www.indeed.com/cmp/CVS-Health/salaries/Beauty-Advisor</t>
  </si>
  <si>
    <t>$14.85</t>
  </si>
  <si>
    <t>https://www.indeed.com/cmp/CVS-Health/salaries/Customer-Service-Associate---Cashier</t>
  </si>
  <si>
    <t>Overnight Associate</t>
  </si>
  <si>
    <t>overnight associate</t>
  </si>
  <si>
    <t>$15.89</t>
  </si>
  <si>
    <t>https://www.indeed.com/cmp/CVS-Health/salaries/Overnight-Associate</t>
  </si>
  <si>
    <t>FedEx</t>
  </si>
  <si>
    <t>Installation &amp; Maintenance</t>
  </si>
  <si>
    <t>Senior Vehicle Technician</t>
  </si>
  <si>
    <t>senior vehicle technician</t>
  </si>
  <si>
    <t>$37.65</t>
  </si>
  <si>
    <t>https://www.indeed.com/cmp/FedEx/salaries/Senior-Vehicle-Technician</t>
  </si>
  <si>
    <t>$29.05</t>
  </si>
  <si>
    <t>https://www.indeed.com/cmp/FedEx/salaries/Maintenance-Technician</t>
  </si>
  <si>
    <t>Diesel Mechanic</t>
  </si>
  <si>
    <t>diesel mechanic</t>
  </si>
  <si>
    <t>$35.73</t>
  </si>
  <si>
    <t>https://www.indeed.com/cmp/FedEx/salaries/Diesel-Mechanic</t>
  </si>
  <si>
    <t>Senior Maintenance Person</t>
  </si>
  <si>
    <t>senior maintenance person</t>
  </si>
  <si>
    <t>$30.11</t>
  </si>
  <si>
    <t>https://www.indeed.com/cmp/FedEx/salaries/Senior-Maintenance-Person</t>
  </si>
  <si>
    <t>Technician</t>
  </si>
  <si>
    <t>technician</t>
  </si>
  <si>
    <t>$36.63</t>
  </si>
  <si>
    <t>https://www.indeed.com/cmp/FedEx/salaries/Technician</t>
  </si>
  <si>
    <t>Automotive Mechanic</t>
  </si>
  <si>
    <t>automotive mechanic</t>
  </si>
  <si>
    <t>$36.18</t>
  </si>
  <si>
    <t>https://www.indeed.com/cmp/FedEx/salaries/Automotive-Mechanic</t>
  </si>
  <si>
    <t>Vehicle Technician</t>
  </si>
  <si>
    <t>vehicle technician</t>
  </si>
  <si>
    <t>$37.20</t>
  </si>
  <si>
    <t>https://www.indeed.com/cmp/FedEx/salaries/Vehicle-Technician</t>
  </si>
  <si>
    <t>Senior Maintenance Technician</t>
  </si>
  <si>
    <t>senior maintenance technician</t>
  </si>
  <si>
    <t>$30.20</t>
  </si>
  <si>
    <t>https://www.indeed.com/cmp/FedEx/salaries/Senior-Maintenance-Technician</t>
  </si>
  <si>
    <t>Maintenance Tech II</t>
  </si>
  <si>
    <t>maintenance tech ii</t>
  </si>
  <si>
    <t>$27.74</t>
  </si>
  <si>
    <t>https://www.indeed.com/cmp/FedEx/salaries/Maintenance-Tech-II</t>
  </si>
  <si>
    <t>Maintenance Tech III</t>
  </si>
  <si>
    <t>maintenance tech iii</t>
  </si>
  <si>
    <t>$29.00</t>
  </si>
  <si>
    <t>https://www.indeed.com/cmp/FedEx/salaries/Maintenance-Tech-III</t>
  </si>
  <si>
    <t>Google</t>
  </si>
  <si>
    <t>Sales</t>
  </si>
  <si>
    <t>Account Manager</t>
  </si>
  <si>
    <t>account manager</t>
  </si>
  <si>
    <t>$121,230</t>
  </si>
  <si>
    <t>https://www.indeed.com/cmp/Google/salaries/Account-Manager</t>
  </si>
  <si>
    <t>Account Strategist</t>
  </si>
  <si>
    <t>account strategist</t>
  </si>
  <si>
    <t>$98,101</t>
  </si>
  <si>
    <t>https://www.indeed.com/cmp/Google/salaries/Account-Strategist</t>
  </si>
  <si>
    <t>Account Executive</t>
  </si>
  <si>
    <t>account executive</t>
  </si>
  <si>
    <t>$199,325</t>
  </si>
  <si>
    <t>https://www.indeed.com/cmp/Google/salaries/Account-Executive</t>
  </si>
  <si>
    <t>Sales Associate</t>
  </si>
  <si>
    <t>sales associate</t>
  </si>
  <si>
    <t>$85,042</t>
  </si>
  <si>
    <t>sales</t>
  </si>
  <si>
    <t>$110,602</t>
  </si>
  <si>
    <t>https://www.indeed.com/cmp/Google/salaries/Sales</t>
  </si>
  <si>
    <t>Solutions Engineer</t>
  </si>
  <si>
    <t>solutions engineer</t>
  </si>
  <si>
    <t>$145,282</t>
  </si>
  <si>
    <t>https://www.indeed.com/cmp/Google/salaries/Solutions-Engineer</t>
  </si>
  <si>
    <t>Sales Representative</t>
  </si>
  <si>
    <t>sales representative</t>
  </si>
  <si>
    <t>$79,264</t>
  </si>
  <si>
    <t>https://www.indeed.com/cmp/Google/salaries/Sales-Representative</t>
  </si>
  <si>
    <t>Partnership Manager</t>
  </si>
  <si>
    <t>partnership manager</t>
  </si>
  <si>
    <t>$163,802</t>
  </si>
  <si>
    <t>https://www.indeed.com/cmp/Google/salaries/Partnership-Manager</t>
  </si>
  <si>
    <t>Sales Manager</t>
  </si>
  <si>
    <t>sales manager</t>
  </si>
  <si>
    <t>$173,782</t>
  </si>
  <si>
    <t>https://www.indeed.com/cmp/Google/salaries/Sales-Manager</t>
  </si>
  <si>
    <t>Senior Account Manager</t>
  </si>
  <si>
    <t>senior account manager</t>
  </si>
  <si>
    <t>$129,480</t>
  </si>
  <si>
    <t>https://www.indeed.com/cmp/Google/salaries/Senior-Account-Manager</t>
  </si>
  <si>
    <t>Apple</t>
  </si>
  <si>
    <t>Home Solutions Advisor</t>
  </si>
  <si>
    <t>home solutions advisor</t>
  </si>
  <si>
    <t>$16.46</t>
  </si>
  <si>
    <t>https://www.indeed.com/cmp/Apple/salaries/Home-Solutions-Advisor</t>
  </si>
  <si>
    <t>$23.30</t>
  </si>
  <si>
    <t>https://www.indeed.com/cmp/Apple/salaries/Sales-Associate</t>
  </si>
  <si>
    <t>Sales Specialist</t>
  </si>
  <si>
    <t>sales specialist</t>
  </si>
  <si>
    <t>$22.62</t>
  </si>
  <si>
    <t>https://www.indeed.com/cmp/Apple/salaries/Sales-Specialist</t>
  </si>
  <si>
    <t>Product Specialist</t>
  </si>
  <si>
    <t>product specialist</t>
  </si>
  <si>
    <t>$21.47</t>
  </si>
  <si>
    <t>https://www.indeed.com/cmp/Apple/salaries/Product-Specialist</t>
  </si>
  <si>
    <t>$20.06</t>
  </si>
  <si>
    <t>https://www.indeed.com/cmp/Apple/salaries/Sales</t>
  </si>
  <si>
    <t>$97,514</t>
  </si>
  <si>
    <t>$135,173</t>
  </si>
  <si>
    <t>https://www.indeed.com/cmp/Apple/salaries/Account-Executive</t>
  </si>
  <si>
    <t>$66,910</t>
  </si>
  <si>
    <t>https://www.indeed.com/cmp/Apple/salaries/Sales-Representative</t>
  </si>
  <si>
    <t>$220,157</t>
  </si>
  <si>
    <t>https://www.indeed.com/cmp/Apple/salaries/Solutions-Engineer</t>
  </si>
  <si>
    <t>Inside Sales Account Executive</t>
  </si>
  <si>
    <t>inside sales account executive</t>
  </si>
  <si>
    <t>$66,227</t>
  </si>
  <si>
    <t>https://www.indeed.com/cmp/Apple/salaries/Inside-Sales-Account-Executive</t>
  </si>
  <si>
    <t>Microsoft</t>
  </si>
  <si>
    <t>$123,495</t>
  </si>
  <si>
    <t>https://www.indeed.com/cmp/Microsoft/salaries/Account-Executive</t>
  </si>
  <si>
    <t>$139,354</t>
  </si>
  <si>
    <t>https://www.indeed.com/cmp/Microsoft/salaries/Account-Manager</t>
  </si>
  <si>
    <t>Digital Marketing Sales Representative</t>
  </si>
  <si>
    <t>digital marketing sales representative</t>
  </si>
  <si>
    <t>$64,210</t>
  </si>
  <si>
    <t>https://www.indeed.com/cmp/Microsoft/salaries/Digital-Marketing-Sales-Representative</t>
  </si>
  <si>
    <t>$158,588</t>
  </si>
  <si>
    <t>https://www.indeed.com/cmp/Microsoft/salaries/Partnership-Manager</t>
  </si>
  <si>
    <t>$75,784</t>
  </si>
  <si>
    <t>https://www.indeed.com/cmp/Microsoft/salaries/Sales-Associate</t>
  </si>
  <si>
    <t>$97,282</t>
  </si>
  <si>
    <t>https://www.indeed.com/cmp/Microsoft/salaries/Sales</t>
  </si>
  <si>
    <t>Solution Specialist</t>
  </si>
  <si>
    <t>solution specialist</t>
  </si>
  <si>
    <t>$145,153</t>
  </si>
  <si>
    <t>https://www.indeed.com/cmp/Microsoft/salaries/Solution-Specialist</t>
  </si>
  <si>
    <t>$124,960</t>
  </si>
  <si>
    <t>$67,043</t>
  </si>
  <si>
    <t>https://www.indeed.com/cmp/Microsoft/salaries/Sales-Representative</t>
  </si>
  <si>
    <t>$155,584</t>
  </si>
  <si>
    <t>https://www.indeed.com/cmp/Microsoft/salaries/Sales-Manager</t>
  </si>
  <si>
    <t>Meta</t>
  </si>
  <si>
    <t>IT Operations &amp; Helpdesk</t>
  </si>
  <si>
    <t>Data Center Engineer</t>
  </si>
  <si>
    <t>data center engineer</t>
  </si>
  <si>
    <t>$186,317</t>
  </si>
  <si>
    <t>https://www.indeed.com/cmp/Meta/salaries/Data-Center-Engineer</t>
  </si>
  <si>
    <t>Network Engineer</t>
  </si>
  <si>
    <t>network engineer</t>
  </si>
  <si>
    <t>$168,609</t>
  </si>
  <si>
    <t>https://www.indeed.com/cmp/Meta/salaries/Network-Engineer</t>
  </si>
  <si>
    <t>Data Center Lead</t>
  </si>
  <si>
    <t>data center lead</t>
  </si>
  <si>
    <t>$228,480</t>
  </si>
  <si>
    <t>https://www.indeed.com/cmp/Meta/salaries/Data-Center-Lead</t>
  </si>
  <si>
    <t>Data Center Technician</t>
  </si>
  <si>
    <t>data center technician</t>
  </si>
  <si>
    <t>$26.66</t>
  </si>
  <si>
    <t>Administrative Assistance</t>
  </si>
  <si>
    <t>Administrative Specialist</t>
  </si>
  <si>
    <t>administrative specialist</t>
  </si>
  <si>
    <t>$48.54</t>
  </si>
  <si>
    <t>https://www.indeed.com/cmp/Meta/salaries/Administrative-Specialist</t>
  </si>
  <si>
    <t>Administration Executive</t>
  </si>
  <si>
    <t>administration executive</t>
  </si>
  <si>
    <t>$57.48</t>
  </si>
  <si>
    <t>https://www.indeed.com/cmp/Meta/salaries/Administration-Executive</t>
  </si>
  <si>
    <t>Site Coordinator</t>
  </si>
  <si>
    <t>site coordinator</t>
  </si>
  <si>
    <t>$34.65</t>
  </si>
  <si>
    <t>Center Manager</t>
  </si>
  <si>
    <t>center manager</t>
  </si>
  <si>
    <t>$201,224</t>
  </si>
  <si>
    <t>Administrative Assistant</t>
  </si>
  <si>
    <t>administrative assistant</t>
  </si>
  <si>
    <t>$41.00</t>
  </si>
  <si>
    <t>Project Management</t>
  </si>
  <si>
    <t>Program Manager</t>
  </si>
  <si>
    <t>program manager</t>
  </si>
  <si>
    <t>$126,647</t>
  </si>
  <si>
    <t>https://www.indeed.com/cmp/Meta/salaries/Program-Manager</t>
  </si>
  <si>
    <t>Netflix</t>
  </si>
  <si>
    <t>$94,193</t>
  </si>
  <si>
    <t>https://www.indeed.com/cmp/Netflix/salaries/Administrative-Assistant</t>
  </si>
  <si>
    <t>Executive Assistant</t>
  </si>
  <si>
    <t>executive assistant</t>
  </si>
  <si>
    <t>$123,559</t>
  </si>
  <si>
    <t>https://www.indeed.com/cmp/Netflix/salaries/Executive-Assistant</t>
  </si>
  <si>
    <t>Production Assistant</t>
  </si>
  <si>
    <t>production assistant</t>
  </si>
  <si>
    <t>$19.86</t>
  </si>
  <si>
    <t>https://www.indeed.com/cmp/Netflix/salaries/Production-Assistant</t>
  </si>
  <si>
    <t>Operations Associate</t>
  </si>
  <si>
    <t>operations associate</t>
  </si>
  <si>
    <t>$121,334</t>
  </si>
  <si>
    <t>Talent Coordinator</t>
  </si>
  <si>
    <t>talent coordinator</t>
  </si>
  <si>
    <t>$29.85</t>
  </si>
  <si>
    <t>Contract Coordinator</t>
  </si>
  <si>
    <t>contract coordinator</t>
  </si>
  <si>
    <t>$57.93</t>
  </si>
  <si>
    <t>Marketing</t>
  </si>
  <si>
    <t>Associate Creative Director</t>
  </si>
  <si>
    <t>associate creative director</t>
  </si>
  <si>
    <t>$78,684</t>
  </si>
  <si>
    <t>https://www.indeed.com/cmp/Netflix/salaries/Associate-Creative-Director</t>
  </si>
  <si>
    <t>Marketing Coordinator</t>
  </si>
  <si>
    <t>marketing coordinator</t>
  </si>
  <si>
    <t>$108,362</t>
  </si>
  <si>
    <t>Director of Marketing</t>
  </si>
  <si>
    <t>director of marketing</t>
  </si>
  <si>
    <t>$272,049</t>
  </si>
  <si>
    <t>Marketing Manager</t>
  </si>
  <si>
    <t>marketing manager</t>
  </si>
  <si>
    <t>$269,508</t>
  </si>
  <si>
    <t>Tesla</t>
  </si>
  <si>
    <t>Software Development</t>
  </si>
  <si>
    <t>Software Engineer</t>
  </si>
  <si>
    <t>software engineer</t>
  </si>
  <si>
    <t>$144,614</t>
  </si>
  <si>
    <t>https://www.indeed.com/cmp/Tesla/salaries/Software-Engineer</t>
  </si>
  <si>
    <t>Technical Program Manager</t>
  </si>
  <si>
    <t>technical program manager</t>
  </si>
  <si>
    <t>$140,062</t>
  </si>
  <si>
    <t>https://www.indeed.com/cmp/Tesla/salaries/Technical-Program-Manager</t>
  </si>
  <si>
    <t>Senior Software Engineer</t>
  </si>
  <si>
    <t>senior software engineer</t>
  </si>
  <si>
    <t>$182,045</t>
  </si>
  <si>
    <t>https://www.indeed.com/cmp/Tesla/salaries/Senior-Software-Engineer</t>
  </si>
  <si>
    <t>Software Engineer Intern</t>
  </si>
  <si>
    <t>software engineer intern</t>
  </si>
  <si>
    <t>$49.07</t>
  </si>
  <si>
    <t>https://www.indeed.com/cmp/Tesla/salaries/Software-Engineer-Intern</t>
  </si>
  <si>
    <t>Data Engineer</t>
  </si>
  <si>
    <t>data engineer</t>
  </si>
  <si>
    <t>$114,333</t>
  </si>
  <si>
    <t>Product Manager</t>
  </si>
  <si>
    <t>product manager</t>
  </si>
  <si>
    <t>$123,785</t>
  </si>
  <si>
    <t>Staff Software Engineer</t>
  </si>
  <si>
    <t>staff software engineer</t>
  </si>
  <si>
    <t>$226,707</t>
  </si>
  <si>
    <t>https://www.indeed.com/cmp/Tesla/salaries/Staff-Software-Engineer</t>
  </si>
  <si>
    <t>Firmware Engineer</t>
  </si>
  <si>
    <t>firmware engineer</t>
  </si>
  <si>
    <t>$179,918</t>
  </si>
  <si>
    <t>Software Integration Engineer</t>
  </si>
  <si>
    <t>software integration engineer</t>
  </si>
  <si>
    <t>$152,904</t>
  </si>
  <si>
    <t>https://www.indeed.com/cmp/Tesla/salaries/Software-Integration-Engineer</t>
  </si>
  <si>
    <t>Senior Product Manager</t>
  </si>
  <si>
    <t>senior product manager</t>
  </si>
  <si>
    <t>$153,537</t>
  </si>
  <si>
    <t>https://www.indeed.com/cmp/Tesla/salaries/Senior-Product-Manager</t>
  </si>
  <si>
    <t>Bank of America</t>
  </si>
  <si>
    <t>Bank-of-America</t>
  </si>
  <si>
    <t>$102,813</t>
  </si>
  <si>
    <t>https://www.indeed.com/cmp/Bank-of-America/salaries/Software-Engineer</t>
  </si>
  <si>
    <t>$126,602</t>
  </si>
  <si>
    <t>https://www.indeed.com/cmp/Bank-of-America/salaries/Senior-Software-Engineer</t>
  </si>
  <si>
    <t>Scrum Master</t>
  </si>
  <si>
    <t>scrum master</t>
  </si>
  <si>
    <t>$118,317</t>
  </si>
  <si>
    <t>$126,320</t>
  </si>
  <si>
    <t>https://www.indeed.com/cmp/Bank-of-America/salaries/Product-Manager</t>
  </si>
  <si>
    <t>$112,283</t>
  </si>
  <si>
    <t>https://www.indeed.com/cmp/Bank-of-America/salaries/Data-Engineer</t>
  </si>
  <si>
    <t>Product Owner</t>
  </si>
  <si>
    <t>product owner</t>
  </si>
  <si>
    <t>$124,726</t>
  </si>
  <si>
    <t>https://www.indeed.com/cmp/Bank-of-America/salaries/Product-Owner</t>
  </si>
  <si>
    <t>$37.27</t>
  </si>
  <si>
    <t>Release Engineer</t>
  </si>
  <si>
    <t>release engineer</t>
  </si>
  <si>
    <t>$139,919</t>
  </si>
  <si>
    <t>Programmer Analyst</t>
  </si>
  <si>
    <t>programmer analyst</t>
  </si>
  <si>
    <t>$86,408</t>
  </si>
  <si>
    <t>https://www.indeed.com/cmp/Bank-of-America/salaries/Programmer-Analyst</t>
  </si>
  <si>
    <t>Technology Lead</t>
  </si>
  <si>
    <t>technology lead</t>
  </si>
  <si>
    <t>$141,232</t>
  </si>
  <si>
    <t>https://www.indeed.com/cmp/Bank-of-America/salaries/Technology-Lead</t>
  </si>
  <si>
    <t>Wells Fargo</t>
  </si>
  <si>
    <t>Wells-Fargo</t>
  </si>
  <si>
    <t>$119,723</t>
  </si>
  <si>
    <t>https://www.indeed.com/cmp/Wells-Fargo/salaries/Software-Engineer</t>
  </si>
  <si>
    <t>$123,758</t>
  </si>
  <si>
    <t>https://www.indeed.com/cmp/Wells-Fargo/salaries/Senior-Software-Engineer</t>
  </si>
  <si>
    <t>$129,301</t>
  </si>
  <si>
    <t>https://www.indeed.com/cmp/Wells-Fargo/salaries/Product-Manager</t>
  </si>
  <si>
    <t>Infrastructure Engineer</t>
  </si>
  <si>
    <t>infrastructure engineer</t>
  </si>
  <si>
    <t>$123,985</t>
  </si>
  <si>
    <t>https://www.indeed.com/cmp/Wells-Fargo/salaries/Infrastructure-Engineer</t>
  </si>
  <si>
    <t>$152,720</t>
  </si>
  <si>
    <t>https://www.indeed.com/cmp/Wells-Fargo/salaries/Senior-Product-Manager</t>
  </si>
  <si>
    <t>$123,703</t>
  </si>
  <si>
    <t>https://www.indeed.com/cmp/Wells-Fargo/salaries/Data-Engineer</t>
  </si>
  <si>
    <t>Lead Product Manager</t>
  </si>
  <si>
    <t>lead product manager</t>
  </si>
  <si>
    <t>$186,216</t>
  </si>
  <si>
    <t>$111,022</t>
  </si>
  <si>
    <t>https://www.indeed.com/cmp/Wells-Fargo/salaries/Scrum-Master</t>
  </si>
  <si>
    <t>Senior Scrum Master</t>
  </si>
  <si>
    <t>senior scrum master</t>
  </si>
  <si>
    <t>$122,756</t>
  </si>
  <si>
    <t>https://www.indeed.com/cmp/Wells-Fargo/salaries/Senior-Scrum-Master</t>
  </si>
  <si>
    <t>$48.00</t>
  </si>
  <si>
    <t>https://www.indeed.com/cmp/Wells-Fargo/salaries/Software-Engineer-Intern</t>
  </si>
  <si>
    <t>JPMorganChase</t>
  </si>
  <si>
    <t>JPMorgan-Chase</t>
  </si>
  <si>
    <t>Banking &amp; Finance</t>
  </si>
  <si>
    <t>Relationship Banker</t>
  </si>
  <si>
    <t>relationship banker</t>
  </si>
  <si>
    <t>$26.99</t>
  </si>
  <si>
    <t>https://www.indeed.com/cmp/Jpmorganchase-2/salaries/Relationship-Banker</t>
  </si>
  <si>
    <t>JPMorgan Chase</t>
  </si>
  <si>
    <t>Banker</t>
  </si>
  <si>
    <t>banker</t>
  </si>
  <si>
    <t>$25.03</t>
  </si>
  <si>
    <t>https://www.indeed.com/cmp/Jpmorganchase-2/salaries/Banker</t>
  </si>
  <si>
    <t>Private Banker</t>
  </si>
  <si>
    <t>private banker</t>
  </si>
  <si>
    <t>$27.81</t>
  </si>
  <si>
    <t>https://www.indeed.com/cmp/Jpmorganchase-2/salaries/Private-Banker</t>
  </si>
  <si>
    <t>Fraud Analyst</t>
  </si>
  <si>
    <t>fraud analyst</t>
  </si>
  <si>
    <t>$21.11</t>
  </si>
  <si>
    <t>Investment Banking Analyst</t>
  </si>
  <si>
    <t>investment banking analyst</t>
  </si>
  <si>
    <t>$132,247</t>
  </si>
  <si>
    <t>https://www.indeed.com/cmp/Jpmorganchase-2/salaries/Investment-Banking-Analyst</t>
  </si>
  <si>
    <t>Bank Clerk</t>
  </si>
  <si>
    <t>bank clerk</t>
  </si>
  <si>
    <t>https://www.indeed.com/cmp/Jpmorganchase-2/salaries/Bank-Clerk</t>
  </si>
  <si>
    <t>Risk Analyst</t>
  </si>
  <si>
    <t>risk analyst</t>
  </si>
  <si>
    <t>$75,476</t>
  </si>
  <si>
    <t>https://www.indeed.com/cmp/Jpmorganchase-2/salaries/Risk-Analyst</t>
  </si>
  <si>
    <t>Financial Advisor</t>
  </si>
  <si>
    <t>financial advisor</t>
  </si>
  <si>
    <t>$72,930</t>
  </si>
  <si>
    <t>https://www.indeed.com/cmp/Jpmorganchase-2/salaries/Financial-Advisor</t>
  </si>
  <si>
    <t>Anti Money Laundering Analyst</t>
  </si>
  <si>
    <t>anti money laundering analyst</t>
  </si>
  <si>
    <t>$60,417</t>
  </si>
  <si>
    <t>https://www.indeed.com/cmp/Jpmorganchase-2/salaries/Anti-Money-Laundering-Analyst</t>
  </si>
  <si>
    <t>Banking Associate</t>
  </si>
  <si>
    <t>banking associate</t>
  </si>
  <si>
    <t>$125,400</t>
  </si>
  <si>
    <t>https://www.indeed.com/cmp/Jpmorganchase-2/salaries/Banking-Associate</t>
  </si>
  <si>
    <t>PwC</t>
  </si>
  <si>
    <t>Software Architect</t>
  </si>
  <si>
    <t>software architect</t>
  </si>
  <si>
    <t>$154,255</t>
  </si>
  <si>
    <t>https://www.indeed.com/cmp/Pwc/salaries/Software-Architect</t>
  </si>
  <si>
    <t>Digital Assurance &amp; Transparency Associate</t>
  </si>
  <si>
    <t>digital assurance &amp; transparency associate</t>
  </si>
  <si>
    <t>$88,527</t>
  </si>
  <si>
    <t>https://www.indeed.com/cmp/Pwc/salaries/Digital-Assurance-&amp;-Transparency-Associate</t>
  </si>
  <si>
    <t>Cloud Consultant</t>
  </si>
  <si>
    <t>cloud consultant</t>
  </si>
  <si>
    <t>$157,119</t>
  </si>
  <si>
    <t>https://www.indeed.com/cmp/Pwc/salaries/Cloud-Consultant</t>
  </si>
  <si>
    <t>$87,250</t>
  </si>
  <si>
    <t>https://www.indeed.com/cmp/Pwc/salaries/Software-Engineer</t>
  </si>
  <si>
    <t>Digital Assurance &amp; Transparency Intern</t>
  </si>
  <si>
    <t>digital assurance &amp; transparency intern</t>
  </si>
  <si>
    <t>$33.59</t>
  </si>
  <si>
    <t>https://www.indeed.com/cmp/Pwc/salaries/Digital-Assurance-&amp;-Transparency-Intern</t>
  </si>
  <si>
    <t>Technical Lead</t>
  </si>
  <si>
    <t>technical lead</t>
  </si>
  <si>
    <t>$133,605</t>
  </si>
  <si>
    <t>https://www.indeed.com/cmp/Pwc/salaries/Technical-Lead</t>
  </si>
  <si>
    <t>$120,744</t>
  </si>
  <si>
    <t>https://www.indeed.com/cmp/Pwc/salaries/Senior-Software-Engineer</t>
  </si>
  <si>
    <t>Python Developer</t>
  </si>
  <si>
    <t>python developer</t>
  </si>
  <si>
    <t>$94,902</t>
  </si>
  <si>
    <t>https://www.indeed.com/cmp/Pwc/salaries/Python-Developer</t>
  </si>
  <si>
    <t>Solution Architect</t>
  </si>
  <si>
    <t>solution architect</t>
  </si>
  <si>
    <t>$150,869</t>
  </si>
  <si>
    <t>https://www.indeed.com/cmp/Pwc/salaries/Solution-Architect</t>
  </si>
  <si>
    <t>$127,307</t>
  </si>
  <si>
    <t>EY</t>
  </si>
  <si>
    <t>Information Design &amp; Documentation</t>
  </si>
  <si>
    <t>Technology Consultant</t>
  </si>
  <si>
    <t>technology consultant</t>
  </si>
  <si>
    <t>$196,121</t>
  </si>
  <si>
    <t>https://www.indeed.com/cmp/Ey/salaries/Technology-Consultant</t>
  </si>
  <si>
    <t>SAP Consultant</t>
  </si>
  <si>
    <t>sap consultant</t>
  </si>
  <si>
    <t>$185,025</t>
  </si>
  <si>
    <t>https://www.indeed.com/cmp/Ey/salaries/SAP-Consultant</t>
  </si>
  <si>
    <t>Senior Technology Consultant</t>
  </si>
  <si>
    <t>senior technology consultant</t>
  </si>
  <si>
    <t>$146,004</t>
  </si>
  <si>
    <t>https://www.indeed.com/cmp/Ey/salaries/Senior-Technology-Consultant</t>
  </si>
  <si>
    <t>Data Consultant</t>
  </si>
  <si>
    <t>data consultant</t>
  </si>
  <si>
    <t>$130,337</t>
  </si>
  <si>
    <t>https://www.indeed.com/cmp/Ey/salaries/Data-Consultant</t>
  </si>
  <si>
    <t>Cybersecurity Consultant</t>
  </si>
  <si>
    <t>cybersecurity consultant</t>
  </si>
  <si>
    <t>$90,563</t>
  </si>
  <si>
    <t>https://www.indeed.com/cmp/Ey/salaries/Cybersecurity-Consultant</t>
  </si>
  <si>
    <t>SAP Lead</t>
  </si>
  <si>
    <t>sap lead</t>
  </si>
  <si>
    <t>$240,303</t>
  </si>
  <si>
    <t>https://www.indeed.com/cmp/Ey/salaries/SAP-Lead</t>
  </si>
  <si>
    <t>Senior Business Process Analyst</t>
  </si>
  <si>
    <t>senior business process analyst</t>
  </si>
  <si>
    <t>$103,732</t>
  </si>
  <si>
    <t>https://www.indeed.com/cmp/Ey/salaries/Senior-Business-Process-Analyst</t>
  </si>
  <si>
    <t>CyberSecurity Lead</t>
  </si>
  <si>
    <t>cybersecurity lead</t>
  </si>
  <si>
    <t>$112,363</t>
  </si>
  <si>
    <t>https://www.indeed.com/cmp/Ey/salaries/CyberSecurity-Lead</t>
  </si>
  <si>
    <t>Senior Technology Analyst</t>
  </si>
  <si>
    <t>senior technology analyst</t>
  </si>
  <si>
    <t>https://www.indeed.com/cmp/Ey/salaries/Senior-Technology-Analyst</t>
  </si>
  <si>
    <t>Oracle Consultant</t>
  </si>
  <si>
    <t>oracle consultant</t>
  </si>
  <si>
    <t>$149,033</t>
  </si>
  <si>
    <t>https://www.indeed.com/cmp/Ey/salaries/Oracle-Consultant</t>
  </si>
  <si>
    <t>KPMG</t>
  </si>
  <si>
    <t>Audit Manager</t>
  </si>
  <si>
    <t>audit manager</t>
  </si>
  <si>
    <t>$127,757</t>
  </si>
  <si>
    <t>https://www.indeed.com/cmp/Kpmg-0828bc85/salaries/Audit-Manager</t>
  </si>
  <si>
    <t>Wealth Advisory Manager</t>
  </si>
  <si>
    <t>wealth advisory manager</t>
  </si>
  <si>
    <t>$194,315</t>
  </si>
  <si>
    <t>https://www.indeed.com/cmp/Kpmg-0828bc85/salaries/Wealth-Advisory-Manager</t>
  </si>
  <si>
    <t>Risk Associate</t>
  </si>
  <si>
    <t>risk associate</t>
  </si>
  <si>
    <t>$80,101</t>
  </si>
  <si>
    <t>https://www.indeed.com/cmp/Kpmg-0828bc85/salaries/Risk-Associate</t>
  </si>
  <si>
    <t>Senior Audit Manager</t>
  </si>
  <si>
    <t>senior audit manager</t>
  </si>
  <si>
    <t>$165,631</t>
  </si>
  <si>
    <t>Risk Manager</t>
  </si>
  <si>
    <t>risk manager</t>
  </si>
  <si>
    <t>$6,765</t>
  </si>
  <si>
    <t>MONTHLY</t>
  </si>
  <si>
    <t>Director of Strategy</t>
  </si>
  <si>
    <t>director of strategy</t>
  </si>
  <si>
    <t>$14,052</t>
  </si>
  <si>
    <t>Assurance Manager</t>
  </si>
  <si>
    <t>assurance manager</t>
  </si>
  <si>
    <t>$8,605</t>
  </si>
  <si>
    <t>Financial Risk Analyst</t>
  </si>
  <si>
    <t>financial risk analyst</t>
  </si>
  <si>
    <t>$7,018</t>
  </si>
  <si>
    <t>Financial Consultant</t>
  </si>
  <si>
    <t>financial consultant</t>
  </si>
  <si>
    <t>$9,707</t>
  </si>
  <si>
    <t>Esg Research Associate</t>
  </si>
  <si>
    <t>esg research associate</t>
  </si>
  <si>
    <t>$8,893</t>
  </si>
  <si>
    <t>Accenture</t>
  </si>
  <si>
    <t>Technology Analyst</t>
  </si>
  <si>
    <t>technology analyst</t>
  </si>
  <si>
    <t>$82,001</t>
  </si>
  <si>
    <t>https://www.indeed.com/cmp/Accenture/salaries/Technology-Analyst</t>
  </si>
  <si>
    <t>$126,828</t>
  </si>
  <si>
    <t>https://www.indeed.com/cmp/Accenture/salaries/Technology-Consultant</t>
  </si>
  <si>
    <t>Consultant Configuration Analyst</t>
  </si>
  <si>
    <t>consultant configuration analyst</t>
  </si>
  <si>
    <t>$86,265</t>
  </si>
  <si>
    <t>https://www.indeed.com/cmp/Accenture/salaries/Consultant-Configuration-Analyst</t>
  </si>
  <si>
    <t>$114,692</t>
  </si>
  <si>
    <t>https://www.indeed.com/cmp/Accenture/salaries/SAP-Consultant</t>
  </si>
  <si>
    <t>Application Analyst</t>
  </si>
  <si>
    <t>application analyst</t>
  </si>
  <si>
    <t>$75,549</t>
  </si>
  <si>
    <t>https://www.indeed.com/cmp/Accenture/salaries/Application-Analyst</t>
  </si>
  <si>
    <t>Delivery Analyst</t>
  </si>
  <si>
    <t>delivery analyst</t>
  </si>
  <si>
    <t>$90,335</t>
  </si>
  <si>
    <t>https://www.indeed.com/cmp/Accenture/salaries/Delivery-Analyst</t>
  </si>
  <si>
    <t>$115,773</t>
  </si>
  <si>
    <t>https://www.indeed.com/cmp/Accenture/salaries/Oracle-Consultant</t>
  </si>
  <si>
    <t>Operations Analyst</t>
  </si>
  <si>
    <t>operations analyst</t>
  </si>
  <si>
    <t>$51,627</t>
  </si>
  <si>
    <t>https://www.indeed.com/cmp/Accenture/salaries/Operations-Analyst</t>
  </si>
  <si>
    <t>$116,136</t>
  </si>
  <si>
    <t>https://www.indeed.com/cmp/Accenture/salaries/Data-Consultant</t>
  </si>
  <si>
    <t>Quality Assurance Analyst</t>
  </si>
  <si>
    <t>quality assurance analyst</t>
  </si>
  <si>
    <t>$75,000</t>
  </si>
  <si>
    <t>IBM</t>
  </si>
  <si>
    <t>User Experience Designer</t>
  </si>
  <si>
    <t>user experience designer</t>
  </si>
  <si>
    <t>$147,384</t>
  </si>
  <si>
    <t>https://www.indeed.com/cmp/IBM/salaries/User-Experience-Designer</t>
  </si>
  <si>
    <t>$57,311</t>
  </si>
  <si>
    <t>https://www.indeed.com/cmp/IBM/salaries/SAP-Consultant</t>
  </si>
  <si>
    <t>$97,540</t>
  </si>
  <si>
    <t>https://www.indeed.com/cmp/IBM/salaries/Oracle-Consultant</t>
  </si>
  <si>
    <t>User Experience Researcher</t>
  </si>
  <si>
    <t>user experience researcher</t>
  </si>
  <si>
    <t>$139,381</t>
  </si>
  <si>
    <t>https://www.indeed.com/cmp/IBM/salaries/User-Experience-Researcher</t>
  </si>
  <si>
    <t>Product Designer</t>
  </si>
  <si>
    <t>product designer</t>
  </si>
  <si>
    <t>$97,986</t>
  </si>
  <si>
    <t>https://www.indeed.com/cmp/IBM/salaries/Product-Designer</t>
  </si>
  <si>
    <t>Design Engineer</t>
  </si>
  <si>
    <t>design engineer</t>
  </si>
  <si>
    <t>$106,029</t>
  </si>
  <si>
    <t>https://www.indeed.com/cmp/IBM/salaries/Design-Engineer</t>
  </si>
  <si>
    <t>Technical Specialist</t>
  </si>
  <si>
    <t>technical specialist</t>
  </si>
  <si>
    <t>$115,800</t>
  </si>
  <si>
    <t>https://www.indeed.com/cmp/IBM/salaries/Technical-Specialist</t>
  </si>
  <si>
    <t>Senior User Experience Designer</t>
  </si>
  <si>
    <t>senior user experience designer</t>
  </si>
  <si>
    <t>$182,795</t>
  </si>
  <si>
    <t>https://www.indeed.com/cmp/IBM/salaries/Senior-User-Experience-Designer</t>
  </si>
  <si>
    <t>Package Consultant</t>
  </si>
  <si>
    <t>package consultant</t>
  </si>
  <si>
    <t>$75,235</t>
  </si>
  <si>
    <t>https://www.indeed.com/cmp/IBM/salaries/Package-Consultant</t>
  </si>
  <si>
    <t>Technical Consultant</t>
  </si>
  <si>
    <t>technical consultant</t>
  </si>
  <si>
    <t>$74,499</t>
  </si>
  <si>
    <t>https://www.indeed.com/cmp/IBM/salaries/Technical-Consultant</t>
  </si>
  <si>
    <t>Oracle</t>
  </si>
  <si>
    <t>Consultant</t>
  </si>
  <si>
    <t>consultant</t>
  </si>
  <si>
    <t>$61,866</t>
  </si>
  <si>
    <t>https://www.indeed.com/cmp/Oracle/salaries/Consultant</t>
  </si>
  <si>
    <t>$177,724</t>
  </si>
  <si>
    <t>https://www.indeed.com/cmp/Oracle/salaries/Director</t>
  </si>
  <si>
    <t>Shift Leader</t>
  </si>
  <si>
    <t>shift leader</t>
  </si>
  <si>
    <t>$135,893</t>
  </si>
  <si>
    <t>https://www.indeed.com/cmp/Oracle/salaries/Shift-Leader</t>
  </si>
  <si>
    <t>Development Director</t>
  </si>
  <si>
    <t>development director</t>
  </si>
  <si>
    <t>$208,997</t>
  </si>
  <si>
    <t>https://www.indeed.com/cmp/Oracle/salaries/Development-Director</t>
  </si>
  <si>
    <t>Senior Consultant</t>
  </si>
  <si>
    <t>senior consultant</t>
  </si>
  <si>
    <t>$73,210</t>
  </si>
  <si>
    <t>https://www.indeed.com/cmp/Oracle/salaries/Senior-Consultant</t>
  </si>
  <si>
    <t>Associate Consultant</t>
  </si>
  <si>
    <t>associate consultant</t>
  </si>
  <si>
    <t>$55,306</t>
  </si>
  <si>
    <t>https://www.indeed.com/cmp/Oracle/salaries/Associate-Consultant</t>
  </si>
  <si>
    <t>Principal Consultant</t>
  </si>
  <si>
    <t>principal consultant</t>
  </si>
  <si>
    <t>$112,558</t>
  </si>
  <si>
    <t>https://www.indeed.com/cmp/Oracle/salaries/Principal-Consultant</t>
  </si>
  <si>
    <t>Senior Principal Consultant</t>
  </si>
  <si>
    <t>senior principal consultant</t>
  </si>
  <si>
    <t>$122,185</t>
  </si>
  <si>
    <t>https://www.indeed.com/cmp/Oracle/salaries/Senior-Principal-Consultant</t>
  </si>
  <si>
    <t>Business Development Manager</t>
  </si>
  <si>
    <t>business development manager</t>
  </si>
  <si>
    <t>$151,833</t>
  </si>
  <si>
    <t>https://www.indeed.com/cmp/Oracle/salaries/Business-Development-Manager</t>
  </si>
  <si>
    <t>Product Strategy Manager</t>
  </si>
  <si>
    <t>product strategy manager</t>
  </si>
  <si>
    <t>$170,348</t>
  </si>
  <si>
    <t>https://www.indeed.com/cmp/Oracle/salaries/Product-Strategy-Manager</t>
  </si>
  <si>
    <t>HP</t>
  </si>
  <si>
    <t>Medical Technician</t>
  </si>
  <si>
    <t>Surgical Technologist</t>
  </si>
  <si>
    <t>surgical technologist</t>
  </si>
  <si>
    <t>$49.76</t>
  </si>
  <si>
    <t>Sterile Processing Technician</t>
  </si>
  <si>
    <t>sterile processing technician</t>
  </si>
  <si>
    <t>$27.28</t>
  </si>
  <si>
    <t>https://www.indeed.com/cmp/HP/salaries/Sterile-Processing-Technician</t>
  </si>
  <si>
    <t>Phlebotomist</t>
  </si>
  <si>
    <t>phlebotomist</t>
  </si>
  <si>
    <t>$23.53</t>
  </si>
  <si>
    <t>Respiratory Therapist</t>
  </si>
  <si>
    <t>respiratory therapist</t>
  </si>
  <si>
    <t>$72.12</t>
  </si>
  <si>
    <t>Patient Care Technician</t>
  </si>
  <si>
    <t>patient care technician</t>
  </si>
  <si>
    <t>$24.91</t>
  </si>
  <si>
    <t>Certified Medical Assistant</t>
  </si>
  <si>
    <t>certified medical assistant</t>
  </si>
  <si>
    <t>$23.10</t>
  </si>
  <si>
    <t>X-ray Technician</t>
  </si>
  <si>
    <t>x-ray technician</t>
  </si>
  <si>
    <t>$44.27</t>
  </si>
  <si>
    <t>Telemetry Technician</t>
  </si>
  <si>
    <t>telemetry technician</t>
  </si>
  <si>
    <t>$49.75</t>
  </si>
  <si>
    <t>Radiologic Technologist</t>
  </si>
  <si>
    <t>radiologic technologist</t>
  </si>
  <si>
    <t>$31.64</t>
  </si>
  <si>
    <t>Paramedic</t>
  </si>
  <si>
    <t>paramedic</t>
  </si>
  <si>
    <t>$22.74</t>
  </si>
  <si>
    <t>Verizon</t>
  </si>
  <si>
    <t>$131,928</t>
  </si>
  <si>
    <t>$94,525</t>
  </si>
  <si>
    <t>https://www.indeed.com/cmp/Verizon/salaries/Consultant</t>
  </si>
  <si>
    <t>$152,558</t>
  </si>
  <si>
    <t>$178,446</t>
  </si>
  <si>
    <t>https://www.indeed.com/cmp/Verizon/salaries/Director</t>
  </si>
  <si>
    <t>Associate Director</t>
  </si>
  <si>
    <t>associate director</t>
  </si>
  <si>
    <t>$186,526</t>
  </si>
  <si>
    <t>Solutions Manager</t>
  </si>
  <si>
    <t>solutions manager</t>
  </si>
  <si>
    <t>$53,009</t>
  </si>
  <si>
    <t>https://www.indeed.com/cmp/Verizon/salaries/Solutions-Manager</t>
  </si>
  <si>
    <t>General Manager</t>
  </si>
  <si>
    <t>general manager</t>
  </si>
  <si>
    <t>$71,523</t>
  </si>
  <si>
    <t>https://www.indeed.com/cmp/Verizon/salaries/General-Manager</t>
  </si>
  <si>
    <t>$54,439</t>
  </si>
  <si>
    <t>https://www.indeed.com/cmp/Verizon/salaries/Assistant-Manager</t>
  </si>
  <si>
    <t>Transformation Manager</t>
  </si>
  <si>
    <t>transformation manager</t>
  </si>
  <si>
    <t>$145,968</t>
  </si>
  <si>
    <t>https://www.indeed.com/cmp/Verizon/salaries/Transformation-Manager</t>
  </si>
  <si>
    <t>Manager in Training</t>
  </si>
  <si>
    <t>manager in training</t>
  </si>
  <si>
    <t>$44,091</t>
  </si>
  <si>
    <t>https://www.indeed.com/cmp/Verizon/salaries/Manager-in-Training</t>
  </si>
  <si>
    <t>AT&amp;T</t>
  </si>
  <si>
    <t>$51,072</t>
  </si>
  <si>
    <t>$106,504</t>
  </si>
  <si>
    <t>https://www.indeed.com/cmp/AT&amp;T/salaries/Manager</t>
  </si>
  <si>
    <t>$155,600</t>
  </si>
  <si>
    <t>https://www.indeed.com/cmp/AT&amp;T/salaries/Associate-Director</t>
  </si>
  <si>
    <t>$171,309</t>
  </si>
  <si>
    <t>https://www.indeed.com/cmp/AT&amp;T/salaries/Director</t>
  </si>
  <si>
    <t>$58,731</t>
  </si>
  <si>
    <t>https://www.indeed.com/cmp/AT&amp;T/salaries/Assistant-Manager</t>
  </si>
  <si>
    <t>Commissioner</t>
  </si>
  <si>
    <t>commissioner</t>
  </si>
  <si>
    <t>$43,597</t>
  </si>
  <si>
    <t>https://www.indeed.com/cmp/AT&amp;T/salaries/Commissioner</t>
  </si>
  <si>
    <t>Assistant Vice President</t>
  </si>
  <si>
    <t>assistant vice president</t>
  </si>
  <si>
    <t>$213,233</t>
  </si>
  <si>
    <t>https://www.indeed.com/cmp/AT&amp;T/salaries/Assistant-Vice-President</t>
  </si>
  <si>
    <t>$145,904</t>
  </si>
  <si>
    <t>https://www.indeed.com/cmp/AT&amp;T/salaries/Shift-Leader</t>
  </si>
  <si>
    <t>Area Manager</t>
  </si>
  <si>
    <t>area manager</t>
  </si>
  <si>
    <t>$85,110</t>
  </si>
  <si>
    <t>https://www.indeed.com/cmp/AT&amp;T/salaries/Area-Manager</t>
  </si>
  <si>
    <t>Technical Manager</t>
  </si>
  <si>
    <t>technical manager</t>
  </si>
  <si>
    <t>$90,050</t>
  </si>
  <si>
    <t>https://www.indeed.com/cmp/AT&amp;T/salaries/Technical-Manager</t>
  </si>
  <si>
    <t>T-Mobile Premium Retailers</t>
  </si>
  <si>
    <t>T-Mobile</t>
  </si>
  <si>
    <t>Mobile Expert</t>
  </si>
  <si>
    <t>mobile expert</t>
  </si>
  <si>
    <t>$15.64</t>
  </si>
  <si>
    <t>https://www.indeed.com/cmp/T--Mobile-Premium-Retailers/salaries/Mobile-Expert</t>
  </si>
  <si>
    <t>Mobile Phone Technician</t>
  </si>
  <si>
    <t>mobile phone technician</t>
  </si>
  <si>
    <t>$18.28</t>
  </si>
  <si>
    <t>$16.42</t>
  </si>
  <si>
    <t>Field Technician</t>
  </si>
  <si>
    <t>field technician</t>
  </si>
  <si>
    <t>$18.88</t>
  </si>
  <si>
    <t>Wastewater Operator</t>
  </si>
  <si>
    <t>wastewater operator</t>
  </si>
  <si>
    <t>$35.58</t>
  </si>
  <si>
    <t>$13.00</t>
  </si>
  <si>
    <t>Sheet Metal Mechanic</t>
  </si>
  <si>
    <t>sheet metal mechanic</t>
  </si>
  <si>
    <t>$16.74</t>
  </si>
  <si>
    <t>Locator</t>
  </si>
  <si>
    <t>locator</t>
  </si>
  <si>
    <t>$8.00</t>
  </si>
  <si>
    <t>$53,062</t>
  </si>
  <si>
    <t>$31,668</t>
  </si>
  <si>
    <t>https://www.indeed.com/cmp/T--Mobile-Premium-Retailers/salaries/Assistant-Manager</t>
  </si>
  <si>
    <t>Comcast</t>
  </si>
  <si>
    <t>Campaign Manager</t>
  </si>
  <si>
    <t>campaign manager</t>
  </si>
  <si>
    <t>$54,370</t>
  </si>
  <si>
    <t>https://www.indeed.com/cmp/Comcast/salaries/Campaign-Manager</t>
  </si>
  <si>
    <t>Senior Marketer</t>
  </si>
  <si>
    <t>senior marketer</t>
  </si>
  <si>
    <t>$112,924</t>
  </si>
  <si>
    <t>https://www.indeed.com/cmp/Comcast/salaries/Senior-Marketer</t>
  </si>
  <si>
    <t>Brand Ambassador</t>
  </si>
  <si>
    <t>brand ambassador</t>
  </si>
  <si>
    <t>$906</t>
  </si>
  <si>
    <t>WEEKLY</t>
  </si>
  <si>
    <t>https://www.indeed.com/cmp/Comcast/salaries/Brand-Ambassador</t>
  </si>
  <si>
    <t>Marketing Specialist</t>
  </si>
  <si>
    <t>marketing specialist</t>
  </si>
  <si>
    <t>$64,605</t>
  </si>
  <si>
    <t>https://www.indeed.com/cmp/Comcast/salaries/Marketing-Specialist</t>
  </si>
  <si>
    <t>Communications Manager</t>
  </si>
  <si>
    <t>communications manager</t>
  </si>
  <si>
    <t>$102,227</t>
  </si>
  <si>
    <t>https://www.indeed.com/cmp/Comcast/salaries/Communications-Manager</t>
  </si>
  <si>
    <t>$109,594</t>
  </si>
  <si>
    <t>Director of Communications</t>
  </si>
  <si>
    <t>director of communications</t>
  </si>
  <si>
    <t>$163,696</t>
  </si>
  <si>
    <t>https://www.indeed.com/cmp/Comcast/salaries/Director-of-Communications</t>
  </si>
  <si>
    <t>$134,502</t>
  </si>
  <si>
    <t>https://www.indeed.com/cmp/Comcast/salaries/Director-of-Marketing</t>
  </si>
  <si>
    <t>Marketing Representative</t>
  </si>
  <si>
    <t>marketing representative</t>
  </si>
  <si>
    <t>$582</t>
  </si>
  <si>
    <t>Internal Communications Executive</t>
  </si>
  <si>
    <t>internal communications executive</t>
  </si>
  <si>
    <t>$107,397</t>
  </si>
  <si>
    <t>The Walt Disney Company</t>
  </si>
  <si>
    <t>The-Walt-Disney-Company</t>
  </si>
  <si>
    <t>Host/Hostess</t>
  </si>
  <si>
    <t>host/hostess</t>
  </si>
  <si>
    <t>$22.86</t>
  </si>
  <si>
    <t>https://www.indeed.com/cmp/The-Walt-Disney-Company/salaries/Host-Hostess</t>
  </si>
  <si>
    <t>$20.84</t>
  </si>
  <si>
    <t>https://www.indeed.com/cmp/The-Walt-Disney-Company/salaries/Food-Service-Associate</t>
  </si>
  <si>
    <t>Cook</t>
  </si>
  <si>
    <t>cook</t>
  </si>
  <si>
    <t>$25.02</t>
  </si>
  <si>
    <t>https://www.indeed.com/cmp/The-Walt-Disney-Company/salaries/Cook</t>
  </si>
  <si>
    <t>Server</t>
  </si>
  <si>
    <t>server</t>
  </si>
  <si>
    <t>$53,853</t>
  </si>
  <si>
    <t>Sous Chef</t>
  </si>
  <si>
    <t>sous chef</t>
  </si>
  <si>
    <t>$25.48</t>
  </si>
  <si>
    <t>https://www.indeed.com/cmp/The-Walt-Disney-Company/salaries/Sous-Chef</t>
  </si>
  <si>
    <t>$16.54</t>
  </si>
  <si>
    <t>https://www.indeed.com/cmp/The-Walt-Disney-Company/salaries/Food-Service-Worker</t>
  </si>
  <si>
    <t>Pastry Cook</t>
  </si>
  <si>
    <t>pastry cook</t>
  </si>
  <si>
    <t>$21.03</t>
  </si>
  <si>
    <t>https://www.indeed.com/cmp/The-Walt-Disney-Company/salaries/Pastry-Cook</t>
  </si>
  <si>
    <t>Line Cook</t>
  </si>
  <si>
    <t>line cook</t>
  </si>
  <si>
    <t>$20.03</t>
  </si>
  <si>
    <t>https://www.indeed.com/cmp/The-Walt-Disney-Company/salaries/Line-Cook</t>
  </si>
  <si>
    <t>$15.27</t>
  </si>
  <si>
    <t>https://www.indeed.com/cmp/The-Walt-Disney-Company/salaries/Barista</t>
  </si>
  <si>
    <t>Assistant Chef</t>
  </si>
  <si>
    <t>assistant chef</t>
  </si>
  <si>
    <t>$20.99</t>
  </si>
  <si>
    <t>https://www.indeed.com/cmp/The-Walt-Disney-Company/salaries/Assistant-Chef</t>
  </si>
  <si>
    <t>Marriott International</t>
  </si>
  <si>
    <t>Marriott-International</t>
  </si>
  <si>
    <t>Customer Service</t>
  </si>
  <si>
    <t>Front Desk Agent</t>
  </si>
  <si>
    <t>front desk agent</t>
  </si>
  <si>
    <t>$17.05</t>
  </si>
  <si>
    <t>https://www.indeed.com/cmp/Marriott-International/salaries/Front-Desk-Agent</t>
  </si>
  <si>
    <t>Guest Service Agent</t>
  </si>
  <si>
    <t>guest service agent</t>
  </si>
  <si>
    <t>$17.65</t>
  </si>
  <si>
    <t>https://www.indeed.com/cmp/Marriott-International/salaries/Guest-Service-Agent</t>
  </si>
  <si>
    <t>Lobby Attendant</t>
  </si>
  <si>
    <t>lobby attendant</t>
  </si>
  <si>
    <t>$16.93</t>
  </si>
  <si>
    <t>https://www.indeed.com/cmp/Marriott-International/salaries/Lobby-Attendant</t>
  </si>
  <si>
    <t>Customer Service Representative</t>
  </si>
  <si>
    <t>customer service representative</t>
  </si>
  <si>
    <t>$21.53</t>
  </si>
  <si>
    <t>https://www.indeed.com/cmp/Marriott-International/salaries/Customer-Service-Representative</t>
  </si>
  <si>
    <t>Parking Attendant</t>
  </si>
  <si>
    <t>parking attendant</t>
  </si>
  <si>
    <t>$12.50</t>
  </si>
  <si>
    <t>https://www.indeed.com/cmp/Marriott-International/salaries/Parking-Attendant</t>
  </si>
  <si>
    <t>Hotel Front Desk Clerk</t>
  </si>
  <si>
    <t>hotel front desk clerk</t>
  </si>
  <si>
    <t>$16.98</t>
  </si>
  <si>
    <t>Reservation Agent</t>
  </si>
  <si>
    <t>reservation agent</t>
  </si>
  <si>
    <t>$20.88</t>
  </si>
  <si>
    <t>Reservationist</t>
  </si>
  <si>
    <t>reservationist</t>
  </si>
  <si>
    <t>$18.76</t>
  </si>
  <si>
    <t>Greeter</t>
  </si>
  <si>
    <t>greeter</t>
  </si>
  <si>
    <t>$15.14</t>
  </si>
  <si>
    <t>Usher</t>
  </si>
  <si>
    <t>usher</t>
  </si>
  <si>
    <t>$15.00</t>
  </si>
  <si>
    <t>Hilton</t>
  </si>
  <si>
    <t>$19.01</t>
  </si>
  <si>
    <t>https://www.indeed.com/cmp/Hilton/salaries/Front-Desk-Agent</t>
  </si>
  <si>
    <t>$18.66</t>
  </si>
  <si>
    <t>https://www.indeed.com/cmp/Hilton/salaries/Guest-Service-Agent</t>
  </si>
  <si>
    <t>$15.26</t>
  </si>
  <si>
    <t>https://www.indeed.com/cmp/Hilton/salaries/Parking-Attendant</t>
  </si>
  <si>
    <t>$16.72</t>
  </si>
  <si>
    <t>https://www.indeed.com/cmp/Hilton/salaries/Lobby-Attendant</t>
  </si>
  <si>
    <t>$17.84</t>
  </si>
  <si>
    <t>$28.89</t>
  </si>
  <si>
    <t>https://www.indeed.com/cmp/Hilton/salaries/Greeter</t>
  </si>
  <si>
    <t>$14.37</t>
  </si>
  <si>
    <t>https://www.indeed.com/cmp/Hilton/salaries/Hotel-Front-Desk-Clerk</t>
  </si>
  <si>
    <t>Overnight Customer Service Representative</t>
  </si>
  <si>
    <t>overnight customer service representative</t>
  </si>
  <si>
    <t>$15.97</t>
  </si>
  <si>
    <t>$18.00</t>
  </si>
  <si>
    <t>Desktop Support Technician</t>
  </si>
  <si>
    <t>desktop support technician</t>
  </si>
  <si>
    <t>$79,844</t>
  </si>
  <si>
    <t>Southwest Airlines</t>
  </si>
  <si>
    <t>Southwest-Airlines</t>
  </si>
  <si>
    <t>Mathematics</t>
  </si>
  <si>
    <t>Analyst</t>
  </si>
  <si>
    <t>analyst</t>
  </si>
  <si>
    <t>$90,620</t>
  </si>
  <si>
    <t>https://www.indeed.com/cmp/Southwest-Airlines/salaries/Analyst</t>
  </si>
  <si>
    <t>Senior Analyst</t>
  </si>
  <si>
    <t>senior analyst</t>
  </si>
  <si>
    <t>$123,693</t>
  </si>
  <si>
    <t>https://www.indeed.com/cmp/Southwest-Airlines/salaries/Senior-Analyst</t>
  </si>
  <si>
    <t>Business Analyst</t>
  </si>
  <si>
    <t>business analyst</t>
  </si>
  <si>
    <t>$105,446</t>
  </si>
  <si>
    <t>https://www.indeed.com/cmp/Southwest-Airlines/salaries/Business-Analyst</t>
  </si>
  <si>
    <t>Data Scientist</t>
  </si>
  <si>
    <t>data scientist</t>
  </si>
  <si>
    <t>$127,149</t>
  </si>
  <si>
    <t>https://www.indeed.com/cmp/Southwest-Airlines/salaries/Data-Scientist</t>
  </si>
  <si>
    <t>Associate Analyst</t>
  </si>
  <si>
    <t>associate analyst</t>
  </si>
  <si>
    <t>$69,121</t>
  </si>
  <si>
    <t>https://www.indeed.com/cmp/Southwest-Airlines/salaries/Associate-Analyst</t>
  </si>
  <si>
    <t>Senior Business Analyst</t>
  </si>
  <si>
    <t>senior business analyst</t>
  </si>
  <si>
    <t>$106,902</t>
  </si>
  <si>
    <t>https://www.indeed.com/cmp/Southwest-Airlines/salaries/Senior-Business-Analyst</t>
  </si>
  <si>
    <t>Senior Data Analyst</t>
  </si>
  <si>
    <t>senior data analyst</t>
  </si>
  <si>
    <t>$100,026</t>
  </si>
  <si>
    <t>https://www.indeed.com/cmp/Southwest-Airlines/salaries/Senior-Data-Analyst</t>
  </si>
  <si>
    <t>Data Analyst</t>
  </si>
  <si>
    <t>data analyst</t>
  </si>
  <si>
    <t>$91,221</t>
  </si>
  <si>
    <t>https://www.indeed.com/cmp/Southwest-Airlines/salaries/Data-Analyst</t>
  </si>
  <si>
    <t>$87,105</t>
  </si>
  <si>
    <t>https://www.indeed.com/cmp/Southwest-Airlines/salaries/Technology-Analyst</t>
  </si>
  <si>
    <t>Technical Writer</t>
  </si>
  <si>
    <t>technical writer</t>
  </si>
  <si>
    <t>$65,224</t>
  </si>
  <si>
    <t>Boeing</t>
  </si>
  <si>
    <t>Production &amp; Manufacturing</t>
  </si>
  <si>
    <t>Assembler</t>
  </si>
  <si>
    <t>assembler</t>
  </si>
  <si>
    <t>https://www.indeed.com/cmp/Boeing/salaries/Assembler</t>
  </si>
  <si>
    <t>Fabricator</t>
  </si>
  <si>
    <t>fabricator</t>
  </si>
  <si>
    <t>$32.04</t>
  </si>
  <si>
    <t>https://www.indeed.com/cmp/Boeing/salaries/Fabricator</t>
  </si>
  <si>
    <t>Quality Assurance Inspector</t>
  </si>
  <si>
    <t>quality assurance inspector</t>
  </si>
  <si>
    <t>$30.18</t>
  </si>
  <si>
    <t>https://www.indeed.com/cmp/Boeing/salaries/Quality-Assurance-Inspector</t>
  </si>
  <si>
    <t>Quality Specialist</t>
  </si>
  <si>
    <t>quality specialist</t>
  </si>
  <si>
    <t>$100,843</t>
  </si>
  <si>
    <t>https://www.indeed.com/cmp/Boeing/salaries/Quality-Specialist</t>
  </si>
  <si>
    <t>Manufacturing Associate</t>
  </si>
  <si>
    <t>manufacturing associate</t>
  </si>
  <si>
    <t>$36.06</t>
  </si>
  <si>
    <t>Machinist</t>
  </si>
  <si>
    <t>machinist</t>
  </si>
  <si>
    <t>$40.98</t>
  </si>
  <si>
    <t>https://www.indeed.com/cmp/Boeing/salaries/Machinist</t>
  </si>
  <si>
    <t>Electrical Assembler</t>
  </si>
  <si>
    <t>electrical assembler</t>
  </si>
  <si>
    <t>$20.95</t>
  </si>
  <si>
    <t>https://www.indeed.com/cmp/Boeing/salaries/Electrical-Assembler</t>
  </si>
  <si>
    <t>Tool and Die Maker</t>
  </si>
  <si>
    <t>tool and die maker</t>
  </si>
  <si>
    <t>$33.87</t>
  </si>
  <si>
    <t>https://www.indeed.com/cmp/Boeing/salaries/Tool-and-Die-Maker</t>
  </si>
  <si>
    <t>Mechanical Assembler</t>
  </si>
  <si>
    <t>mechanical assembler</t>
  </si>
  <si>
    <t>$20.18</t>
  </si>
  <si>
    <t>https://www.indeed.com/cmp/Boeing/salaries/Mechanical-Assembler</t>
  </si>
  <si>
    <t>Welder</t>
  </si>
  <si>
    <t>welder</t>
  </si>
  <si>
    <t>$30.39</t>
  </si>
  <si>
    <t>https://www.indeed.com/cmp/Boeing/salaries/Welder</t>
  </si>
  <si>
    <t>Lockheed Martin</t>
  </si>
  <si>
    <t>Lockheed-Martin</t>
  </si>
  <si>
    <t>Field Engineer</t>
  </si>
  <si>
    <t>field engineer</t>
  </si>
  <si>
    <t>$105,032</t>
  </si>
  <si>
    <t>https://www.indeed.com/cmp/Lockheed-Martin/salaries/Field-Engineer</t>
  </si>
  <si>
    <t>Mechanic</t>
  </si>
  <si>
    <t>mechanic</t>
  </si>
  <si>
    <t>$40.81</t>
  </si>
  <si>
    <t>https://www.indeed.com/cmp/Lockheed-Martin/salaries/Mechanic</t>
  </si>
  <si>
    <t>Calibration Technician</t>
  </si>
  <si>
    <t>calibration technician</t>
  </si>
  <si>
    <t>$41.43</t>
  </si>
  <si>
    <t>https://www.indeed.com/cmp/Lockheed-Martin/salaries/Calibration-Technician</t>
  </si>
  <si>
    <t>Electrician</t>
  </si>
  <si>
    <t>electrician</t>
  </si>
  <si>
    <t>$39.13</t>
  </si>
  <si>
    <t>https://www.indeed.com/cmp/Lockheed-Martin/salaries/Electrician</t>
  </si>
  <si>
    <t>Maintenance Mechanic</t>
  </si>
  <si>
    <t>maintenance mechanic</t>
  </si>
  <si>
    <t>$37.38</t>
  </si>
  <si>
    <t>https://www.indeed.com/cmp/Lockheed-Martin/salaries/Maintenance-Mechanic</t>
  </si>
  <si>
    <t>Avionics Technician</t>
  </si>
  <si>
    <t>avionics technician</t>
  </si>
  <si>
    <t>$29.54</t>
  </si>
  <si>
    <t>https://www.indeed.com/cmp/Lockheed-Martin/salaries/Avionics-Technician</t>
  </si>
  <si>
    <t>Test Technician</t>
  </si>
  <si>
    <t>test technician</t>
  </si>
  <si>
    <t>$20.98</t>
  </si>
  <si>
    <t>Instrument Technician</t>
  </si>
  <si>
    <t>instrument technician</t>
  </si>
  <si>
    <t>$54,242</t>
  </si>
  <si>
    <t>https://www.indeed.com/cmp/Lockheed-Martin/salaries/Instrument-Technician</t>
  </si>
  <si>
    <t>Inspector</t>
  </si>
  <si>
    <t>inspector</t>
  </si>
  <si>
    <t>$38.36</t>
  </si>
  <si>
    <t>https://www.indeed.com/cmp/Lockheed-Martin/salaries/Inspector</t>
  </si>
  <si>
    <t>Senior Maintenance Mechanic</t>
  </si>
  <si>
    <t>senior maintenance mechanic</t>
  </si>
  <si>
    <t>$38.93</t>
  </si>
  <si>
    <t>https://www.indeed.com/cmp/Lockheed-Martin/salaries/Senior-Maintenance-Mechanic</t>
  </si>
  <si>
    <t>General Motors (GM)</t>
  </si>
  <si>
    <t>General-Motors</t>
  </si>
  <si>
    <t>$94,355</t>
  </si>
  <si>
    <t>https://www.indeed.com/cmp/General-Motors-(gm)-1/salaries/Business-Analyst</t>
  </si>
  <si>
    <t>General Motors</t>
  </si>
  <si>
    <t>$91,418</t>
  </si>
  <si>
    <t>https://www.indeed.com/cmp/General-Motors-(gm)-1/salaries/Analyst</t>
  </si>
  <si>
    <t>$103,843</t>
  </si>
  <si>
    <t>https://www.indeed.com/cmp/General-Motors-(gm)-1/salaries/Data-Scientist</t>
  </si>
  <si>
    <t>Business Intelligence Developer</t>
  </si>
  <si>
    <t>business intelligence developer</t>
  </si>
  <si>
    <t>$120,217</t>
  </si>
  <si>
    <t>https://www.indeed.com/cmp/General-Motors-(gm)-1/salaries/Business-Intelligence-Developer</t>
  </si>
  <si>
    <t>$107,692</t>
  </si>
  <si>
    <t>https://www.indeed.com/cmp/General-Motors-(gm)-1/salaries/Senior-Analyst</t>
  </si>
  <si>
    <t>$106,662</t>
  </si>
  <si>
    <t>https://www.indeed.com/cmp/General-Motors-(gm)-1/salaries/Data-Analyst</t>
  </si>
  <si>
    <t>Reporting Analyst</t>
  </si>
  <si>
    <t>reporting analyst</t>
  </si>
  <si>
    <t>$100,891</t>
  </si>
  <si>
    <t>https://www.indeed.com/cmp/General-Motors-(gm)-1/salaries/Reporting-Analyst</t>
  </si>
  <si>
    <t>Senior Data Scientist</t>
  </si>
  <si>
    <t>senior data scientist</t>
  </si>
  <si>
    <t>$160,384</t>
  </si>
  <si>
    <t>https://www.indeed.com/cmp/General-Motors-(gm)-1/salaries/Senior-Data-Scientist</t>
  </si>
  <si>
    <t>Lead Data Scientist</t>
  </si>
  <si>
    <t>lead data scientist</t>
  </si>
  <si>
    <t>$198,469</t>
  </si>
  <si>
    <t>https://www.indeed.com/cmp/General-Motors-(gm)-1/salaries/Lead-Data-Scientist</t>
  </si>
  <si>
    <t>Senior Reporting Analyst</t>
  </si>
  <si>
    <t>senior reporting analyst</t>
  </si>
  <si>
    <t>$131,743</t>
  </si>
  <si>
    <t>https://www.indeed.com/cmp/General-Motors-(gm)-1/salaries/Senior-Reporting-Analyst</t>
  </si>
  <si>
    <t>Ford Motor Company</t>
  </si>
  <si>
    <t>Ford-Motor-Company</t>
  </si>
  <si>
    <t>$147,025</t>
  </si>
  <si>
    <t>https://www.indeed.com/cmp/Ford-Motor-Company/salaries/Manager</t>
  </si>
  <si>
    <t>$144,506</t>
  </si>
  <si>
    <t>https://www.indeed.com/cmp/Ford-Motor-Company/salaries/Supervisor</t>
  </si>
  <si>
    <t>Zone Manager</t>
  </si>
  <si>
    <t>zone manager</t>
  </si>
  <si>
    <t>$80,463</t>
  </si>
  <si>
    <t>https://www.indeed.com/cmp/Ford-Motor-Company/salaries/Zone-Manager</t>
  </si>
  <si>
    <t>$213,667</t>
  </si>
  <si>
    <t>https://www.indeed.com/cmp/Ford-Motor-Company/salaries/Director</t>
  </si>
  <si>
    <t>Manufacturing Specialist</t>
  </si>
  <si>
    <t>manufacturing specialist</t>
  </si>
  <si>
    <t>$75,982</t>
  </si>
  <si>
    <t>$133,203</t>
  </si>
  <si>
    <t>https://www.indeed.com/cmp/Ford-Motor-Company/salaries/Shift-Leader</t>
  </si>
  <si>
    <t>Safety Engineer</t>
  </si>
  <si>
    <t>safety engineer</t>
  </si>
  <si>
    <t>$104,575</t>
  </si>
  <si>
    <t>https://www.indeed.com/cmp/Ford-Motor-Company/salaries/Safety-Engineer</t>
  </si>
  <si>
    <t>Purchasing Manager</t>
  </si>
  <si>
    <t>purchasing manager</t>
  </si>
  <si>
    <t>$142,652</t>
  </si>
  <si>
    <t>https://www.indeed.com/cmp/Ford-Motor-Company/salaries/Purchasing-Manager</t>
  </si>
  <si>
    <t>Team Leader</t>
  </si>
  <si>
    <t>team leader</t>
  </si>
  <si>
    <t>$111,032</t>
  </si>
  <si>
    <t>$182,081</t>
  </si>
  <si>
    <t>NIKE</t>
  </si>
  <si>
    <t>Nike</t>
  </si>
  <si>
    <t>$102,766</t>
  </si>
  <si>
    <t>https://www.indeed.com/cmp/Nike/salaries/Retail-Sales-Associate</t>
  </si>
  <si>
    <t>Merchant</t>
  </si>
  <si>
    <t>merchant</t>
  </si>
  <si>
    <t>$128,076</t>
  </si>
  <si>
    <t>https://www.indeed.com/cmp/Nike/salaries/Merchant</t>
  </si>
  <si>
    <t>Merchandise Manager</t>
  </si>
  <si>
    <t>merchandise manager</t>
  </si>
  <si>
    <t>$98,507</t>
  </si>
  <si>
    <t>https://www.indeed.com/cmp/Nike/salaries/Merchandise-Manager</t>
  </si>
  <si>
    <t>Apparel Associate</t>
  </si>
  <si>
    <t>apparel associate</t>
  </si>
  <si>
    <t>$166,216</t>
  </si>
  <si>
    <t>Merchandising Director</t>
  </si>
  <si>
    <t>merchandising director</t>
  </si>
  <si>
    <t>$204,603</t>
  </si>
  <si>
    <t>https://www.indeed.com/cmp/Nike/salaries/Merchandising-Director</t>
  </si>
  <si>
    <t>Merchandiser</t>
  </si>
  <si>
    <t>merchandiser</t>
  </si>
  <si>
    <t>$114,208</t>
  </si>
  <si>
    <t>https://www.indeed.com/cmp/Nike/salaries/Merchandiser</t>
  </si>
  <si>
    <t>Seasonal Associate</t>
  </si>
  <si>
    <t>seasonal associate</t>
  </si>
  <si>
    <t>$15.88</t>
  </si>
  <si>
    <t>Senior Retail Sales Associate</t>
  </si>
  <si>
    <t>senior retail sales associate</t>
  </si>
  <si>
    <t>$117,531</t>
  </si>
  <si>
    <t>Merchandising Specialist</t>
  </si>
  <si>
    <t>merchandising specialist</t>
  </si>
  <si>
    <t>$69,310</t>
  </si>
  <si>
    <t>Associate Merchant</t>
  </si>
  <si>
    <t>associate merchant</t>
  </si>
  <si>
    <t>$69,152</t>
  </si>
  <si>
    <t>PepsiCo</t>
  </si>
  <si>
    <t>$66,990</t>
  </si>
  <si>
    <t>https://www.indeed.com/cmp/PepsiCo/salaries/Sales-Representative</t>
  </si>
  <si>
    <t>$55,187</t>
  </si>
  <si>
    <t>https://www.indeed.com/cmp/PepsiCo/salaries/Sales-Associate</t>
  </si>
  <si>
    <t>Key Account Manager</t>
  </si>
  <si>
    <t>key account manager</t>
  </si>
  <si>
    <t>$82,192</t>
  </si>
  <si>
    <t>Sales Intern</t>
  </si>
  <si>
    <t>sales intern</t>
  </si>
  <si>
    <t>$23.67</t>
  </si>
  <si>
    <t>https://www.indeed.com/cmp/PepsiCo/salaries/Sales-Intern</t>
  </si>
  <si>
    <t>$78,068</t>
  </si>
  <si>
    <t>https://www.indeed.com/cmp/PepsiCo/salaries/Account-Manager</t>
  </si>
  <si>
    <t>$75,817</t>
  </si>
  <si>
    <t>https://www.indeed.com/cmp/PepsiCo/salaries/Sales-Manager</t>
  </si>
  <si>
    <t>Parts Manager</t>
  </si>
  <si>
    <t>parts manager</t>
  </si>
  <si>
    <t>$64,050</t>
  </si>
  <si>
    <t>District Sales Manager</t>
  </si>
  <si>
    <t>district sales manager</t>
  </si>
  <si>
    <t>$71,251</t>
  </si>
  <si>
    <t>https://www.indeed.com/cmp/PepsiCo/salaries/District-Sales-Manager</t>
  </si>
  <si>
    <t>Account Specialist</t>
  </si>
  <si>
    <t>account specialist</t>
  </si>
  <si>
    <t>$70,545</t>
  </si>
  <si>
    <t>https://www.indeed.com/cmp/PepsiCo/salaries/Account-Specialist</t>
  </si>
  <si>
    <t>Sales Coordinator</t>
  </si>
  <si>
    <t>sales coordinator</t>
  </si>
  <si>
    <t>$44,475</t>
  </si>
  <si>
    <t>UnitedHealth Group</t>
  </si>
  <si>
    <t>UnitedHealth-Group</t>
  </si>
  <si>
    <t>$18.46</t>
  </si>
  <si>
    <t>https://www.indeed.com/cmp/UnitedHealth-Group/salaries/Customer-Service-Representative</t>
  </si>
  <si>
    <t>Bilingual Customer Service Associate</t>
  </si>
  <si>
    <t>bilingual customer service associate</t>
  </si>
  <si>
    <t>https://www.indeed.com/cmp/UnitedHealth-Group/salaries/Bilingual-Customer-Service-Associate</t>
  </si>
  <si>
    <t>Healthcare Customer Service Representative</t>
  </si>
  <si>
    <t>healthcare customer service representative</t>
  </si>
  <si>
    <t>$22.67</t>
  </si>
  <si>
    <t>Customer Advocate</t>
  </si>
  <si>
    <t>customer advocate</t>
  </si>
  <si>
    <t>$18.98</t>
  </si>
  <si>
    <t>https://www.indeed.com/cmp/UnitedHealth-Group/salaries/Customer-Advocate</t>
  </si>
  <si>
    <t>Support Specialist</t>
  </si>
  <si>
    <t>support specialist</t>
  </si>
  <si>
    <t>$24.04</t>
  </si>
  <si>
    <t>https://www.indeed.com/cmp/UnitedHealth-Group/salaries/Support-Specialist</t>
  </si>
  <si>
    <t>Senior Customer Service Representative</t>
  </si>
  <si>
    <t>senior customer service representative</t>
  </si>
  <si>
    <t>$22.18</t>
  </si>
  <si>
    <t>Customer Support Representative</t>
  </si>
  <si>
    <t>customer support representative</t>
  </si>
  <si>
    <t>$23.21</t>
  </si>
  <si>
    <t>Enrollment and Eligibility Representative</t>
  </si>
  <si>
    <t>enrollment and eligibility representative</t>
  </si>
  <si>
    <t>$23.79</t>
  </si>
  <si>
    <t>Sales Support Representative</t>
  </si>
  <si>
    <t>sales support representative</t>
  </si>
  <si>
    <t>$23.82</t>
  </si>
  <si>
    <t>Member Advocate</t>
  </si>
  <si>
    <t>member advocate</t>
  </si>
  <si>
    <t>$33,000</t>
  </si>
  <si>
    <t>Humana</t>
  </si>
  <si>
    <t>$91,602</t>
  </si>
  <si>
    <t>https://www.indeed.com/cmp/Humana/salaries/Business-Intelligence-Developer</t>
  </si>
  <si>
    <t>$137,376</t>
  </si>
  <si>
    <t>https://www.indeed.com/cmp/Humana/salaries/Senior-Data-Scientist</t>
  </si>
  <si>
    <t>Business Intelligence Analyst</t>
  </si>
  <si>
    <t>business intelligence analyst</t>
  </si>
  <si>
    <t>$148,568</t>
  </si>
  <si>
    <t>https://www.indeed.com/cmp/Humana/salaries/Business-Intelligence-Analyst</t>
  </si>
  <si>
    <t>$111,761</t>
  </si>
  <si>
    <t>https://www.indeed.com/cmp/Humana/salaries/Data-Scientist</t>
  </si>
  <si>
    <t>$69,283</t>
  </si>
  <si>
    <t>https://www.indeed.com/cmp/Humana/salaries/Analyst</t>
  </si>
  <si>
    <t>$166,930</t>
  </si>
  <si>
    <t>https://www.indeed.com/cmp/Humana/salaries/Lead-Data-Scientist</t>
  </si>
  <si>
    <t>Management Analyst</t>
  </si>
  <si>
    <t>management analyst</t>
  </si>
  <si>
    <t>$56,911</t>
  </si>
  <si>
    <t>https://www.indeed.com/cmp/Humana/salaries/Management-Analyst</t>
  </si>
  <si>
    <t>Anaplan Model Builder</t>
  </si>
  <si>
    <t>anaplan model builder</t>
  </si>
  <si>
    <t>$94,489</t>
  </si>
  <si>
    <t>https://www.indeed.com/cmp/Humana/salaries/Anaplan-Model-Builder</t>
  </si>
  <si>
    <t>$67,595</t>
  </si>
  <si>
    <t>Senior Analytics Consultant</t>
  </si>
  <si>
    <t>senior analytics consultant</t>
  </si>
  <si>
    <t>$91,961</t>
  </si>
  <si>
    <t>https://www.indeed.com/cmp/Humana/salaries/Senior-Analytics-Consultant</t>
  </si>
  <si>
    <t>Kaiser Permanente</t>
  </si>
  <si>
    <t>Kaiser-Permanente</t>
  </si>
  <si>
    <t>Medical Assistant</t>
  </si>
  <si>
    <t>medical assistant</t>
  </si>
  <si>
    <t>$30.47</t>
  </si>
  <si>
    <t>https://www.indeed.com/cmp/Kaiser-Permanente/salaries/Medical-Assistant</t>
  </si>
  <si>
    <t>Radiologist</t>
  </si>
  <si>
    <t>radiologist</t>
  </si>
  <si>
    <t>$187</t>
  </si>
  <si>
    <t>https://www.indeed.com/cmp/Kaiser-Permanente/salaries/Radiologist</t>
  </si>
  <si>
    <t>$46.30</t>
  </si>
  <si>
    <t>https://www.indeed.com/cmp/Kaiser-Permanente/salaries/Radiologic-Technologist</t>
  </si>
  <si>
    <t>Sonographer</t>
  </si>
  <si>
    <t>sonographer</t>
  </si>
  <si>
    <t>$54.42</t>
  </si>
  <si>
    <t>CT Technologist</t>
  </si>
  <si>
    <t>ct technologist</t>
  </si>
  <si>
    <t>$52.50</t>
  </si>
  <si>
    <t>https://www.indeed.com/cmp/Kaiser-Permanente/salaries/CT-Technologist</t>
  </si>
  <si>
    <t>$35.75</t>
  </si>
  <si>
    <t>https://www.indeed.com/cmp/Kaiser-Permanente/salaries/Patient-Care-Technician</t>
  </si>
  <si>
    <t>$48.55</t>
  </si>
  <si>
    <t>https://www.indeed.com/cmp/Kaiser-Permanente/salaries/Surgical-Technologist</t>
  </si>
  <si>
    <t>Mammography Technologist</t>
  </si>
  <si>
    <t>mammography technologist</t>
  </si>
  <si>
    <t>$53.88</t>
  </si>
  <si>
    <t>https://www.indeed.com/cmp/Kaiser-Permanente/salaries/Mammography-Technologist</t>
  </si>
  <si>
    <t>$30.70</t>
  </si>
  <si>
    <t>https://www.indeed.com/cmp/Kaiser-Permanente/salaries/Sterile-Processing-Technician</t>
  </si>
  <si>
    <t>OB Technician</t>
  </si>
  <si>
    <t>ob technician</t>
  </si>
  <si>
    <t>$37.10</t>
  </si>
  <si>
    <t>https://www.indeed.com/cmp/Kaiser-Permanente/salaries/OB-Technician</t>
  </si>
  <si>
    <t>Mayo Clinic</t>
  </si>
  <si>
    <t>Mayo-Clinic</t>
  </si>
  <si>
    <t>Community &amp; Social Service</t>
  </si>
  <si>
    <t>Case Manager</t>
  </si>
  <si>
    <t>case manager</t>
  </si>
  <si>
    <t>$123,651</t>
  </si>
  <si>
    <t>https://www.indeed.com/cmp/Mayo-Clinic/salaries/Case-Manager</t>
  </si>
  <si>
    <t>Social Worker</t>
  </si>
  <si>
    <t>social worker</t>
  </si>
  <si>
    <t>$77,504</t>
  </si>
  <si>
    <t>https://www.indeed.com/cmp/Mayo-Clinic/salaries/Social-Worker</t>
  </si>
  <si>
    <t>Senior Program Coordinator</t>
  </si>
  <si>
    <t>senior program coordinator</t>
  </si>
  <si>
    <t>$80,271</t>
  </si>
  <si>
    <t>https://www.indeed.com/cmp/Mayo-Clinic/salaries/Senior-Program-Coordinator</t>
  </si>
  <si>
    <t>Education Coordinator</t>
  </si>
  <si>
    <t>education coordinator</t>
  </si>
  <si>
    <t>$61,299</t>
  </si>
  <si>
    <t>Education Specialist</t>
  </si>
  <si>
    <t>education specialist</t>
  </si>
  <si>
    <t>$101,653</t>
  </si>
  <si>
    <t>https://www.indeed.com/cmp/Mayo-Clinic/salaries/Education-Specialist</t>
  </si>
  <si>
    <t>Chaplain</t>
  </si>
  <si>
    <t>chaplain</t>
  </si>
  <si>
    <t>$60,896</t>
  </si>
  <si>
    <t>https://www.indeed.com/cmp/Mayo-Clinic/salaries/Chaplain</t>
  </si>
  <si>
    <t>Care Manager</t>
  </si>
  <si>
    <t>care manager</t>
  </si>
  <si>
    <t>$176,537</t>
  </si>
  <si>
    <t>https://www.indeed.com/cmp/Mayo-Clinic/salaries/Care-Manager</t>
  </si>
  <si>
    <t>Licensed Professional Counselor</t>
  </si>
  <si>
    <t>licensed professional counselor</t>
  </si>
  <si>
    <t>$70,235</t>
  </si>
  <si>
    <t>Social Work Supervisor</t>
  </si>
  <si>
    <t>social work supervisor</t>
  </si>
  <si>
    <t>$87,719</t>
  </si>
  <si>
    <t>Program Coordinator</t>
  </si>
  <si>
    <t>program coordinator</t>
  </si>
  <si>
    <t>$59,006</t>
  </si>
  <si>
    <t>Cleveland Clinic</t>
  </si>
  <si>
    <t>Cleveland-Clinic</t>
  </si>
  <si>
    <t>Scientific Research &amp; Development</t>
  </si>
  <si>
    <t>Postdoctoral Fellow</t>
  </si>
  <si>
    <t>postdoctoral fellow</t>
  </si>
  <si>
    <t>$61,430</t>
  </si>
  <si>
    <t>https://www.indeed.com/cmp/Cleveland-Clinic/salaries/Postdoctoral-Fellow</t>
  </si>
  <si>
    <t>Research Coordinator</t>
  </si>
  <si>
    <t>research coordinator</t>
  </si>
  <si>
    <t>$58,949</t>
  </si>
  <si>
    <t>https://www.indeed.com/cmp/Cleveland-Clinic/salaries/Research-Coordinator</t>
  </si>
  <si>
    <t>Research Associate</t>
  </si>
  <si>
    <t>research associate</t>
  </si>
  <si>
    <t>$78,355</t>
  </si>
  <si>
    <t>https://www.indeed.com/cmp/Cleveland-Clinic/salaries/Research-Associate</t>
  </si>
  <si>
    <t>Clinical Research Coordinator</t>
  </si>
  <si>
    <t>clinical research coordinator</t>
  </si>
  <si>
    <t>$45,892</t>
  </si>
  <si>
    <t>Senior Clinical Research Coordinator</t>
  </si>
  <si>
    <t>senior clinical research coordinator</t>
  </si>
  <si>
    <t>$60,810</t>
  </si>
  <si>
    <t>https://www.indeed.com/cmp/Cleveland-Clinic/salaries/Senior-Clinical-Research-Coordinator</t>
  </si>
  <si>
    <t>Research Assistant</t>
  </si>
  <si>
    <t>research assistant</t>
  </si>
  <si>
    <t>$37,374</t>
  </si>
  <si>
    <t>https://www.indeed.com/cmp/Cleveland-Clinic/salaries/Research-Assistant</t>
  </si>
  <si>
    <t>Research Technician</t>
  </si>
  <si>
    <t>research technician</t>
  </si>
  <si>
    <t>$39,421</t>
  </si>
  <si>
    <t>Senior Research Technician</t>
  </si>
  <si>
    <t>senior research technician</t>
  </si>
  <si>
    <t>$18.84</t>
  </si>
  <si>
    <t>https://www.indeed.com/cmp/Cleveland-Clinic/salaries/Senior-Research-Technician</t>
  </si>
  <si>
    <t>Researcher</t>
  </si>
  <si>
    <t>researcher</t>
  </si>
  <si>
    <t>$84,109</t>
  </si>
  <si>
    <t>https://www.indeed.com/cmp/Cleveland-Clinic/salaries/Researcher</t>
  </si>
  <si>
    <t>Scientist</t>
  </si>
  <si>
    <t>scientist</t>
  </si>
  <si>
    <t>$57,862</t>
  </si>
  <si>
    <t>https://www.indeed.com/cmp/Cleveland-Clinic/salaries/Scientist</t>
  </si>
  <si>
    <t>Chipotle Mexican Grill</t>
  </si>
  <si>
    <t>Chipotle-Mexican-Grill</t>
  </si>
  <si>
    <t>https://www.indeed.com/cmp/Chipotle-Mexican-Grill/salaries/Cashier</t>
  </si>
  <si>
    <t>$15.24</t>
  </si>
  <si>
    <t>https://www.indeed.com/cmp/Chipotle-Mexican-Grill/salaries/Customer-Service-Associate---Cashier</t>
  </si>
  <si>
    <t>Service Crew</t>
  </si>
  <si>
    <t>service crew</t>
  </si>
  <si>
    <t>$15.93</t>
  </si>
  <si>
    <t>https://www.indeed.com/cmp/Chipotle-Mexican-Grill/salaries/Service-Crew</t>
  </si>
  <si>
    <t>Opener</t>
  </si>
  <si>
    <t>opener</t>
  </si>
  <si>
    <t>$13.40</t>
  </si>
  <si>
    <t>https://www.indeed.com/cmp/Chipotle-Mexican-Grill/salaries/Opener</t>
  </si>
  <si>
    <t>https://www.indeed.com/cmp/Chipotle-Mexican-Grill/salaries/Store-Manager</t>
  </si>
  <si>
    <t>Overnight Closer</t>
  </si>
  <si>
    <t>overnight closer</t>
  </si>
  <si>
    <t>$15.61</t>
  </si>
  <si>
    <t>https://www.indeed.com/cmp/Chipotle-Mexican-Grill/salaries/Overnight-Closer</t>
  </si>
  <si>
    <t>Front End Associate</t>
  </si>
  <si>
    <t>front end associate</t>
  </si>
  <si>
    <t>$15.16</t>
  </si>
  <si>
    <t>https://www.indeed.com/cmp/Chipotle-Mexican-Grill/salaries/Front-End-Associate</t>
  </si>
  <si>
    <t>$17.28</t>
  </si>
  <si>
    <t>$13.01</t>
  </si>
  <si>
    <t>Human Resources</t>
  </si>
  <si>
    <t>Human Resources Manager</t>
  </si>
  <si>
    <t>human resources manager</t>
  </si>
  <si>
    <t>$17.92</t>
  </si>
  <si>
    <t>https://www.indeed.com/cmp/Chipotle-Mexican-Grill/salaries/Human-Resources-Manager</t>
  </si>
  <si>
    <t>Subway</t>
  </si>
  <si>
    <t>$17.15</t>
  </si>
  <si>
    <t>https://www.indeed.com/cmp/Subway/salaries/Store-Manager</t>
  </si>
  <si>
    <t>https://www.indeed.com/cmp/Subway/salaries/Assistant-Store-Manager</t>
  </si>
  <si>
    <t>$11.18</t>
  </si>
  <si>
    <t>https://www.indeed.com/cmp/Subway/salaries/Customer-Service-Associate---Cashier</t>
  </si>
  <si>
    <t>$18.11</t>
  </si>
  <si>
    <t>https://www.indeed.com/cmp/Subway/salaries/Cashier</t>
  </si>
  <si>
    <t>$14.30</t>
  </si>
  <si>
    <t>https://www.indeed.com/cmp/Subway/salaries/Opener</t>
  </si>
  <si>
    <t>Shop Manager</t>
  </si>
  <si>
    <t>shop manager</t>
  </si>
  <si>
    <t>$23.28</t>
  </si>
  <si>
    <t>https://www.indeed.com/cmp/Subway/salaries/Shop-Manager</t>
  </si>
  <si>
    <t>$15.06</t>
  </si>
  <si>
    <t>https://www.indeed.com/cmp/Subway/salaries/Retail-Sales-Associate</t>
  </si>
  <si>
    <t>Shop Assistant</t>
  </si>
  <si>
    <t>shop assistant</t>
  </si>
  <si>
    <t>https://www.indeed.com/cmp/Subway/salaries/Shop-Assistant</t>
  </si>
  <si>
    <t>Inventory Specialist</t>
  </si>
  <si>
    <t>inventory specialist</t>
  </si>
  <si>
    <t>$15.82</t>
  </si>
  <si>
    <t>Member Services Representative</t>
  </si>
  <si>
    <t>member services representative</t>
  </si>
  <si>
    <t>$12.91</t>
  </si>
  <si>
    <t>https://www.indeed.com/cmp/Subway/salaries/Member-Services-Representative</t>
  </si>
  <si>
    <t>Burger King</t>
  </si>
  <si>
    <t>Burger-King</t>
  </si>
  <si>
    <t>Equipment Service Technician</t>
  </si>
  <si>
    <t>equipment service technician</t>
  </si>
  <si>
    <t>$22.82</t>
  </si>
  <si>
    <t>https://www.indeed.com/cmp/Burger-King/salaries/Equipment-Service-Technician</t>
  </si>
  <si>
    <t>$28.43</t>
  </si>
  <si>
    <t>https://www.indeed.com/cmp/Burger-King/salaries/Maintenance-Technician</t>
  </si>
  <si>
    <t>Repair Technician</t>
  </si>
  <si>
    <t>repair technician</t>
  </si>
  <si>
    <t>$22.91</t>
  </si>
  <si>
    <t>https://www.indeed.com/cmp/Burger-King/salaries/Repair-Technician</t>
  </si>
  <si>
    <t>$18.37</t>
  </si>
  <si>
    <t>Road Manager</t>
  </si>
  <si>
    <t>road manager</t>
  </si>
  <si>
    <t>$16.00</t>
  </si>
  <si>
    <t>https://www.indeed.com/cmp/Burger-King/salaries/Road-Manager</t>
  </si>
  <si>
    <t>$13.43</t>
  </si>
  <si>
    <t>https://www.indeed.com/cmp/Burger-King/salaries/Locator</t>
  </si>
  <si>
    <t>$22.36</t>
  </si>
  <si>
    <t>https://www.indeed.com/cmp/Burger-King/salaries/Facilities-Maintenance-Technician</t>
  </si>
  <si>
    <t>General Maintenance</t>
  </si>
  <si>
    <t>general maintenance</t>
  </si>
  <si>
    <t>$20.49</t>
  </si>
  <si>
    <t>https://www.indeed.com/cmp/Burger-King/salaries/General-Maintenance</t>
  </si>
  <si>
    <t>$74,834</t>
  </si>
  <si>
    <t>https://www.indeed.com/cmp/Burger-King/salaries/Field-Technician</t>
  </si>
  <si>
    <t>Facilities Technician</t>
  </si>
  <si>
    <t>facilities technician</t>
  </si>
  <si>
    <t>$22.48</t>
  </si>
  <si>
    <t>https://www.indeed.com/cmp/Burger-King/salaries/Facilities-Technician</t>
  </si>
  <si>
    <t>Wendy's</t>
  </si>
  <si>
    <t>$28.76</t>
  </si>
  <si>
    <t>https://www.indeed.com/cmp/Wendy's/salaries/Maintenance-Technician</t>
  </si>
  <si>
    <t>$30.55</t>
  </si>
  <si>
    <t>https://www.indeed.com/cmp/Wendy's/salaries/Refrigeration-Technician</t>
  </si>
  <si>
    <t>$13.21</t>
  </si>
  <si>
    <t>https://www.indeed.com/cmp/Wendy's/salaries/Maintenance-Person</t>
  </si>
  <si>
    <t>$26.06</t>
  </si>
  <si>
    <t>https://www.indeed.com/cmp/Wendy's/salaries/Facilities-Maintenance-Technician</t>
  </si>
  <si>
    <t>$11.12</t>
  </si>
  <si>
    <t>https://www.indeed.com/cmp/Wendy's/salaries/Locator</t>
  </si>
  <si>
    <t>https://www.indeed.com/cmp/Wendy's/salaries/Road-Manager</t>
  </si>
  <si>
    <t>Maintenance Manager</t>
  </si>
  <si>
    <t>maintenance manager</t>
  </si>
  <si>
    <t>$18.33</t>
  </si>
  <si>
    <t>https://www.indeed.com/cmp/Wendy's/salaries/Maintenance-Manager</t>
  </si>
  <si>
    <t>$27.80</t>
  </si>
  <si>
    <t>https://www.indeed.com/cmp/Wendy's/salaries/HVAC-Technician</t>
  </si>
  <si>
    <t>$34.82</t>
  </si>
  <si>
    <t>https://www.indeed.com/cmp/Wendy's/salaries/Facilities-Technician</t>
  </si>
  <si>
    <t>$22.76</t>
  </si>
  <si>
    <t>https://www.indeed.com/cmp/Wendy's/salaries/Technician</t>
  </si>
  <si>
    <t>Pizza Hut</t>
  </si>
  <si>
    <t>Pizza-Hut</t>
  </si>
  <si>
    <t>Driving</t>
  </si>
  <si>
    <t>Delivery Driver</t>
  </si>
  <si>
    <t>delivery driver</t>
  </si>
  <si>
    <t>$14.62</t>
  </si>
  <si>
    <t>https://www.indeed.com/cmp/Pizza-Hut/salaries/Delivery-Driver</t>
  </si>
  <si>
    <t>Driver</t>
  </si>
  <si>
    <t>driver</t>
  </si>
  <si>
    <t>$11.89</t>
  </si>
  <si>
    <t>https://www.indeed.com/cmp/Pizza-Hut/salaries/Driver</t>
  </si>
  <si>
    <t>Team Driver</t>
  </si>
  <si>
    <t>team driver</t>
  </si>
  <si>
    <t>$11.41</t>
  </si>
  <si>
    <t>https://www.indeed.com/cmp/Pizza-Hut/salaries/Team-Driver</t>
  </si>
  <si>
    <t>Senior Facilities Technician</t>
  </si>
  <si>
    <t>senior facilities technician</t>
  </si>
  <si>
    <t>$26.04</t>
  </si>
  <si>
    <t>https://www.indeed.com/cmp/Pizza-Hut/salaries/Senior-Facilities-Technician</t>
  </si>
  <si>
    <t>$25.52</t>
  </si>
  <si>
    <t>https://www.indeed.com/cmp/Pizza-Hut/salaries/Refrigeration-Technician</t>
  </si>
  <si>
    <t>$26.84</t>
  </si>
  <si>
    <t>https://www.indeed.com/cmp/Pizza-Hut/salaries/Maintenance-Technician</t>
  </si>
  <si>
    <t>https://www.indeed.com/cmp/Pizza-Hut/salaries/General-Maintenance</t>
  </si>
  <si>
    <t>$24.56</t>
  </si>
  <si>
    <t>https://www.indeed.com/cmp/Pizza-Hut/salaries/Facilities-Technician</t>
  </si>
  <si>
    <t>$16.05</t>
  </si>
  <si>
    <t>https://www.indeed.com/cmp/Pizza-Hut/salaries/Locator</t>
  </si>
  <si>
    <t>Utility Worker</t>
  </si>
  <si>
    <t>utility worker</t>
  </si>
  <si>
    <t>$10.00</t>
  </si>
  <si>
    <t>Dunkin'</t>
  </si>
  <si>
    <t>https://www.indeed.com/cmp/Dunkin'-2cfce9bf/salaries/Store-Manager</t>
  </si>
  <si>
    <t>$14.49</t>
  </si>
  <si>
    <t>https://www.indeed.com/cmp/Dunkin'-2cfce9bf/salaries/Opener</t>
  </si>
  <si>
    <t>$12.99</t>
  </si>
  <si>
    <t>https://www.indeed.com/cmp/Dunkin'-2cfce9bf/salaries/Cashier</t>
  </si>
  <si>
    <t>Encargado/a turno/a</t>
  </si>
  <si>
    <t>encargado turno</t>
  </si>
  <si>
    <t>https://www.indeed.com/cmp/Dunkin'-2cfce9bf/salaries/Encargado-a-turno-a</t>
  </si>
  <si>
    <t>https://www.indeed.com/cmp/Dunkin'-2cfce9bf/salaries/Assistant-Store-Manager</t>
  </si>
  <si>
    <t>$13.66</t>
  </si>
  <si>
    <t>https://www.indeed.com/cmp/Dunkin'-2cfce9bf/salaries/Customer-Service-Associate---Cashier</t>
  </si>
  <si>
    <t>$15.59</t>
  </si>
  <si>
    <t>https://www.indeed.com/cmp/Dunkin'-2cfce9bf/salaries/Overnight-Closer</t>
  </si>
  <si>
    <t>$16.04</t>
  </si>
  <si>
    <t>https://www.indeed.com/cmp/Dunkin'-2cfce9bf/salaries/Retail-Sales-Associate</t>
  </si>
  <si>
    <t>$15.35</t>
  </si>
  <si>
    <t>https://www.indeed.com/cmp/Dunkin'-2cfce9bf/salaries/Front-End-Associate</t>
  </si>
  <si>
    <t>$16.80</t>
  </si>
  <si>
    <t>https://www.indeed.com/cmp/Dunkin'-2cfce9bf/salaries/Overnight-Associate</t>
  </si>
  <si>
    <t>Best Buy</t>
  </si>
  <si>
    <t>Best-Buy</t>
  </si>
  <si>
    <t>Squad Leader</t>
  </si>
  <si>
    <t>squad leader</t>
  </si>
  <si>
    <t>$20.21</t>
  </si>
  <si>
    <t>https://www.indeed.com/cmp/Best-Buy/salaries/Squad-Leader</t>
  </si>
  <si>
    <t>$75,097</t>
  </si>
  <si>
    <t>https://www.indeed.com/cmp/Best-Buy/salaries/Manager</t>
  </si>
  <si>
    <t>$160,517</t>
  </si>
  <si>
    <t>https://www.indeed.com/cmp/Best-Buy/salaries/Director</t>
  </si>
  <si>
    <t>Associate Manager</t>
  </si>
  <si>
    <t>associate manager</t>
  </si>
  <si>
    <t>$93,640</t>
  </si>
  <si>
    <t>https://www.indeed.com/cmp/Best-Buy/salaries/Associate-Manager</t>
  </si>
  <si>
    <t>$92,424</t>
  </si>
  <si>
    <t>$140,191</t>
  </si>
  <si>
    <t>https://www.indeed.com/cmp/Best-Buy/salaries/Senior-Manager</t>
  </si>
  <si>
    <t>$60,737</t>
  </si>
  <si>
    <t>https://www.indeed.com/cmp/Best-Buy/salaries/Senior-Consultant</t>
  </si>
  <si>
    <t>$14.33</t>
  </si>
  <si>
    <t>https://www.indeed.com/cmp/Best-Buy/salaries/Consultant</t>
  </si>
  <si>
    <t>$164,380</t>
  </si>
  <si>
    <t>https://www.indeed.com/cmp/Best-Buy/salaries/Associate-Director</t>
  </si>
  <si>
    <t>$20.02</t>
  </si>
  <si>
    <t>Lowe's Home Improvement</t>
  </si>
  <si>
    <t>Lowe's</t>
  </si>
  <si>
    <t>Truck Driver</t>
  </si>
  <si>
    <t>truck driver</t>
  </si>
  <si>
    <t>$23.96</t>
  </si>
  <si>
    <t>https://www.indeed.com/cmp/Lowe's-Home-Improvement/salaries/Truck-Driver</t>
  </si>
  <si>
    <t>$19.46</t>
  </si>
  <si>
    <t>https://www.indeed.com/cmp/Lowe's-Home-Improvement/salaries/Delivery-Driver</t>
  </si>
  <si>
    <t>$19.62</t>
  </si>
  <si>
    <t>https://www.indeed.com/cmp/Lowe's-Home-Improvement/salaries/Driver</t>
  </si>
  <si>
    <t>Local Driver</t>
  </si>
  <si>
    <t>local driver</t>
  </si>
  <si>
    <t>$22.47</t>
  </si>
  <si>
    <t>https://www.indeed.com/cmp/Lowe's-Home-Improvement/salaries/Local-Driver</t>
  </si>
  <si>
    <t>Senior Driver</t>
  </si>
  <si>
    <t>senior driver</t>
  </si>
  <si>
    <t>$24.68</t>
  </si>
  <si>
    <t>Senior Delivery Driver</t>
  </si>
  <si>
    <t>senior delivery driver</t>
  </si>
  <si>
    <t>Long Haul Driver</t>
  </si>
  <si>
    <t>long haul driver</t>
  </si>
  <si>
    <t>$19.50</t>
  </si>
  <si>
    <t>Almacén</t>
  </si>
  <si>
    <t>$17.40</t>
  </si>
  <si>
    <t>https://www.indeed.com/cmp/Lowe's-Home-Improvement/salaries/Fulfillment-Associate</t>
  </si>
  <si>
    <t>Stocker/Receiver</t>
  </si>
  <si>
    <t>stocker/receiver</t>
  </si>
  <si>
    <t>$17.22</t>
  </si>
  <si>
    <t>https://www.indeed.com/cmp/Lowe's-Home-Improvement/salaries/Stocker-Receiver</t>
  </si>
  <si>
    <t>$17.56</t>
  </si>
  <si>
    <t>https://www.indeed.com/cmp/Lowe's-Home-Improvement/salaries/Warehouse-Associate</t>
  </si>
  <si>
    <t>Macy's</t>
  </si>
  <si>
    <t>Captain</t>
  </si>
  <si>
    <t>captain</t>
  </si>
  <si>
    <t>$19.67</t>
  </si>
  <si>
    <t>https://www.indeed.com/cmp/Macy's/salaries/Captain</t>
  </si>
  <si>
    <t>$63,909</t>
  </si>
  <si>
    <t>https://www.indeed.com/cmp/Macy's/salaries/Manager</t>
  </si>
  <si>
    <t>$18.62</t>
  </si>
  <si>
    <t>https://www.indeed.com/cmp/Macy's/salaries/Commissioner</t>
  </si>
  <si>
    <t>https://www.indeed.com/cmp/Macy's/salaries/Supervisor</t>
  </si>
  <si>
    <t>$86,020</t>
  </si>
  <si>
    <t>https://www.indeed.com/cmp/Macy's/salaries/Operations-Manager</t>
  </si>
  <si>
    <t>$141,629</t>
  </si>
  <si>
    <t>https://www.indeed.com/cmp/Macy's/salaries/Director</t>
  </si>
  <si>
    <t>$20.10</t>
  </si>
  <si>
    <t>https://www.indeed.com/cmp/Macy's/salaries/Shift-Leader</t>
  </si>
  <si>
    <t>Operations Lead</t>
  </si>
  <si>
    <t>operations lead</t>
  </si>
  <si>
    <t>$24.65</t>
  </si>
  <si>
    <t>https://www.indeed.com/cmp/Macy's/salaries/Operations-Lead</t>
  </si>
  <si>
    <t>Entry Level Manager</t>
  </si>
  <si>
    <t>entry level manager</t>
  </si>
  <si>
    <t>https://www.indeed.com/cmp/Macy's/salaries/Entry-Level-Manager</t>
  </si>
  <si>
    <t>Assistant Supervisor</t>
  </si>
  <si>
    <t>assistant supervisor</t>
  </si>
  <si>
    <t>$22.21</t>
  </si>
  <si>
    <t>Nordstrom</t>
  </si>
  <si>
    <t>Counter Manager</t>
  </si>
  <si>
    <t>counter manager</t>
  </si>
  <si>
    <t>$24.35</t>
  </si>
  <si>
    <t>https://www.indeed.com/cmp/Nordstrom/salaries/Counter-Manager</t>
  </si>
  <si>
    <t>$16.39</t>
  </si>
  <si>
    <t>https://www.indeed.com/cmp/Nordstrom/salaries/Sales-Associate</t>
  </si>
  <si>
    <t>Stylist</t>
  </si>
  <si>
    <t>stylist</t>
  </si>
  <si>
    <t>$20.65</t>
  </si>
  <si>
    <t>https://www.indeed.com/cmp/Nordstrom/salaries/Stylist</t>
  </si>
  <si>
    <t>$22.19</t>
  </si>
  <si>
    <t>https://www.indeed.com/cmp/Nordstrom/salaries/Sales-Manager</t>
  </si>
  <si>
    <t>Salesperson</t>
  </si>
  <si>
    <t>salesperson</t>
  </si>
  <si>
    <t>$17.59</t>
  </si>
  <si>
    <t>https://www.indeed.com/cmp/Nordstrom/salaries/Salesperson</t>
  </si>
  <si>
    <t>$16.79</t>
  </si>
  <si>
    <t>https://www.indeed.com/cmp/Nordstrom/salaries/Sales</t>
  </si>
  <si>
    <t>Stylist Assistant</t>
  </si>
  <si>
    <t>stylist assistant</t>
  </si>
  <si>
    <t>$23.80</t>
  </si>
  <si>
    <t>https://www.indeed.com/cmp/Nordstrom/salaries/Stylist-Assistant</t>
  </si>
  <si>
    <t>Collection Agent</t>
  </si>
  <si>
    <t>collection agent</t>
  </si>
  <si>
    <t>$14.58</t>
  </si>
  <si>
    <t>https://www.indeed.com/cmp/Nordstrom/salaries/Collection-Agent</t>
  </si>
  <si>
    <t>$16.73</t>
  </si>
  <si>
    <t>https://www.indeed.com/cmp/Nordstrom/salaries/Sales-Representative</t>
  </si>
  <si>
    <t>Fine Jewelry Sales Associate</t>
  </si>
  <si>
    <t>fine jewelry sales associate</t>
  </si>
  <si>
    <t>https://www.indeed.com/cmp/Nordstrom/salaries/Fine-Jewelry-Sales-Associate</t>
  </si>
  <si>
    <t>Kohl's</t>
  </si>
  <si>
    <t>Operations Supervisor</t>
  </si>
  <si>
    <t>operations supervisor</t>
  </si>
  <si>
    <t>$72,811</t>
  </si>
  <si>
    <t>Sourcing Manager</t>
  </si>
  <si>
    <t>sourcing manager</t>
  </si>
  <si>
    <t>$71,928</t>
  </si>
  <si>
    <t>https://www.indeed.com/cmp/Kohl's/salaries/Sourcing-Manager</t>
  </si>
  <si>
    <t>$103,066</t>
  </si>
  <si>
    <t>https://www.indeed.com/cmp/Kohl's/salaries/Manager</t>
  </si>
  <si>
    <t>$129,873</t>
  </si>
  <si>
    <t>https://www.indeed.com/cmp/Kohl's/salaries/Senior-Manager</t>
  </si>
  <si>
    <t>$20.41</t>
  </si>
  <si>
    <t>https://www.indeed.com/cmp/Kohl's/salaries/Area-Supervisor</t>
  </si>
  <si>
    <t>Product Development Manager</t>
  </si>
  <si>
    <t>product development manager</t>
  </si>
  <si>
    <t>$55,373</t>
  </si>
  <si>
    <t>$82,605</t>
  </si>
  <si>
    <t>Store Planner</t>
  </si>
  <si>
    <t>store planner</t>
  </si>
  <si>
    <t>$60,445</t>
  </si>
  <si>
    <t>Management Trainee</t>
  </si>
  <si>
    <t>management trainee</t>
  </si>
  <si>
    <t>$49,000</t>
  </si>
  <si>
    <t>$86,621</t>
  </si>
  <si>
    <t>Dollar Tree</t>
  </si>
  <si>
    <t>Dollar-Tree</t>
  </si>
  <si>
    <t>https://www.indeed.com/cmp/Dollar-Tree/salaries/Assistant-Manager</t>
  </si>
  <si>
    <t>Department Manager</t>
  </si>
  <si>
    <t>department manager</t>
  </si>
  <si>
    <t>$59,802</t>
  </si>
  <si>
    <t>https://www.indeed.com/cmp/Dollar-Tree/salaries/Department-Manager</t>
  </si>
  <si>
    <t>District Manager</t>
  </si>
  <si>
    <t>district manager</t>
  </si>
  <si>
    <t>$90,542</t>
  </si>
  <si>
    <t>Freight Manager</t>
  </si>
  <si>
    <t>freight manager</t>
  </si>
  <si>
    <t>$15.25</t>
  </si>
  <si>
    <t>$158,211</t>
  </si>
  <si>
    <t>$9.00</t>
  </si>
  <si>
    <t>Distribution Manager</t>
  </si>
  <si>
    <t>distribution manager</t>
  </si>
  <si>
    <t>$30.76</t>
  </si>
  <si>
    <t>$13.49</t>
  </si>
  <si>
    <t>Assistant Operations Manager</t>
  </si>
  <si>
    <t>assistant operations manager</t>
  </si>
  <si>
    <t>Planner</t>
  </si>
  <si>
    <t>planner</t>
  </si>
  <si>
    <t>$67,305</t>
  </si>
  <si>
    <t>https://www.indeed.com/cmp/Dollar-Tree/salaries/Planner</t>
  </si>
  <si>
    <t>7-Eleven</t>
  </si>
  <si>
    <t>$17.44</t>
  </si>
  <si>
    <t>https://www.indeed.com/cmp/7--eleven/salaries/Assistant-Manager</t>
  </si>
  <si>
    <t>$42.69</t>
  </si>
  <si>
    <t>https://www.indeed.com/cmp/7--eleven/salaries/Area-Manager</t>
  </si>
  <si>
    <t>$18.34</t>
  </si>
  <si>
    <t>https://www.indeed.com/cmp/7--eleven/salaries/Management-Trainee</t>
  </si>
  <si>
    <t>$16.59</t>
  </si>
  <si>
    <t>https://www.indeed.com/cmp/7--eleven/salaries/Shift-Leader</t>
  </si>
  <si>
    <t>Regional Manager</t>
  </si>
  <si>
    <t>regional manager</t>
  </si>
  <si>
    <t>$95,294</t>
  </si>
  <si>
    <t>https://www.indeed.com/cmp/7--eleven/salaries/Regional-Manager</t>
  </si>
  <si>
    <t>Area Leader</t>
  </si>
  <si>
    <t>area leader</t>
  </si>
  <si>
    <t>$33.35</t>
  </si>
  <si>
    <t>Category Manager</t>
  </si>
  <si>
    <t>category manager</t>
  </si>
  <si>
    <t>$75,395</t>
  </si>
  <si>
    <t>https://www.indeed.com/cmp/7--eleven/salaries/Category-Manager</t>
  </si>
  <si>
    <t>Shift Manager</t>
  </si>
  <si>
    <t>shift manager</t>
  </si>
  <si>
    <t>https://www.indeed.com/cmp/7--eleven/salaries/Shift-Manager</t>
  </si>
  <si>
    <t>Multi-unit Manager</t>
  </si>
  <si>
    <t>multi-unit manager</t>
  </si>
  <si>
    <t>$116,435</t>
  </si>
  <si>
    <t>https://www.indeed.com/cmp/7--eleven/salaries/Multi-unit-Manager</t>
  </si>
  <si>
    <t>Wawa</t>
  </si>
  <si>
    <t>$17.06</t>
  </si>
  <si>
    <t>https://www.indeed.com/cmp/Wawa/salaries/Overnight-Associate</t>
  </si>
  <si>
    <t>Inventory Manager</t>
  </si>
  <si>
    <t>inventory manager</t>
  </si>
  <si>
    <t>https://www.indeed.com/cmp/Wawa/salaries/Inventory-Manager</t>
  </si>
  <si>
    <t>$21.17</t>
  </si>
  <si>
    <t>https://www.indeed.com/cmp/Wawa/salaries/Merchandise-Manager</t>
  </si>
  <si>
    <t>https://www.indeed.com/cmp/Wawa/salaries/Store-Manager</t>
  </si>
  <si>
    <t>$14.72</t>
  </si>
  <si>
    <t>https://www.indeed.com/cmp/Wawa/salaries/Cashier</t>
  </si>
  <si>
    <t>$15.83</t>
  </si>
  <si>
    <t>https://www.indeed.com/cmp/Wawa/salaries/Customer-Service-Associate---Cashier</t>
  </si>
  <si>
    <t>$27.39</t>
  </si>
  <si>
    <t>https://www.indeed.com/cmp/Wawa/salaries/Assistant-Store-Manager</t>
  </si>
  <si>
    <t>$15.18</t>
  </si>
  <si>
    <t>$11.54</t>
  </si>
  <si>
    <t>Food &amp; Beverage Manager</t>
  </si>
  <si>
    <t>food &amp; beverage manager</t>
  </si>
  <si>
    <t>$25.70</t>
  </si>
  <si>
    <t>https://www.indeed.com/cmp/Wawa/salaries/Food-&amp;-Beverage-Manager</t>
  </si>
  <si>
    <t>Publix</t>
  </si>
  <si>
    <t>$18.15</t>
  </si>
  <si>
    <t>https://www.indeed.com/cmp/Publix/salaries/Pharmacy-Technician</t>
  </si>
  <si>
    <t>$62.69</t>
  </si>
  <si>
    <t>$18.61</t>
  </si>
  <si>
    <t>$16.76</t>
  </si>
  <si>
    <t>https://www.indeed.com/cmp/Publix/salaries/Pharmacy-Intern</t>
  </si>
  <si>
    <t>$68.67</t>
  </si>
  <si>
    <t>$33.20</t>
  </si>
  <si>
    <t>https://www.indeed.com/cmp/Publix/salaries/Refrigeration-Technician</t>
  </si>
  <si>
    <t>$29.48</t>
  </si>
  <si>
    <t>https://www.indeed.com/cmp/Publix/salaries/Maintenance-Technician</t>
  </si>
  <si>
    <t>Quality Assurance Technician</t>
  </si>
  <si>
    <t>quality assurance technician</t>
  </si>
  <si>
    <t>$23.49</t>
  </si>
  <si>
    <t>https://www.indeed.com/cmp/Publix/salaries/Quality-Assurance-Technician</t>
  </si>
  <si>
    <t>$31.77</t>
  </si>
  <si>
    <t>Senior Equipment Technician</t>
  </si>
  <si>
    <t>senior equipment technician</t>
  </si>
  <si>
    <t>$31.49</t>
  </si>
  <si>
    <t>https://www.indeed.com/cmp/Publix/salaries/Senior-Equipment-Technician</t>
  </si>
  <si>
    <t>Whole Foods Market</t>
  </si>
  <si>
    <t>Whole-Foods-Market</t>
  </si>
  <si>
    <t>$27.52</t>
  </si>
  <si>
    <t>https://www.indeed.com/cmp/Whole-Foods-Market/salaries/Team-Leader</t>
  </si>
  <si>
    <t>Associate Team Leader</t>
  </si>
  <si>
    <t>associate team leader</t>
  </si>
  <si>
    <t>$24.11</t>
  </si>
  <si>
    <t>https://www.indeed.com/cmp/Whole-Foods-Market/salaries/Associate-Team-Leader</t>
  </si>
  <si>
    <t>$20.51</t>
  </si>
  <si>
    <t>https://www.indeed.com/cmp/Whole-Foods-Market/salaries/Supervisor</t>
  </si>
  <si>
    <t>$81,439</t>
  </si>
  <si>
    <t>$143,923</t>
  </si>
  <si>
    <t>https://www.indeed.com/cmp/Whole-Foods-Market/salaries/Shift-Leader</t>
  </si>
  <si>
    <t>Senior Category Manager</t>
  </si>
  <si>
    <t>senior category manager</t>
  </si>
  <si>
    <t>$111,168</t>
  </si>
  <si>
    <t>Engineering Team Leader</t>
  </si>
  <si>
    <t>engineering team leader</t>
  </si>
  <si>
    <t>$63,349</t>
  </si>
  <si>
    <t>$145,515</t>
  </si>
  <si>
    <t>$15,000</t>
  </si>
  <si>
    <t>$19.00</t>
  </si>
  <si>
    <t>Trader Joe's</t>
  </si>
  <si>
    <t>Trader-Joe's</t>
  </si>
  <si>
    <t>Operations Assistant</t>
  </si>
  <si>
    <t>operations assistant</t>
  </si>
  <si>
    <t>$37.42</t>
  </si>
  <si>
    <t>Client Services Specialist</t>
  </si>
  <si>
    <t>client services specialist</t>
  </si>
  <si>
    <t>$28.80</t>
  </si>
  <si>
    <t>Administrator</t>
  </si>
  <si>
    <t>administrator</t>
  </si>
  <si>
    <t>$71,446</t>
  </si>
  <si>
    <t>Safety Coordinator</t>
  </si>
  <si>
    <t>safety coordinator</t>
  </si>
  <si>
    <t>$20.35</t>
  </si>
  <si>
    <t>Human Resources Generalist</t>
  </si>
  <si>
    <t>human resources generalist</t>
  </si>
  <si>
    <t>$87,180</t>
  </si>
  <si>
    <t>HRIS Analyst</t>
  </si>
  <si>
    <t>hris analyst</t>
  </si>
  <si>
    <t>Senior Systems Analyst</t>
  </si>
  <si>
    <t>senior systems analyst</t>
  </si>
  <si>
    <t>$142,303</t>
  </si>
  <si>
    <t>Business Systems Analyst</t>
  </si>
  <si>
    <t>business systems analyst</t>
  </si>
  <si>
    <t>$129,904</t>
  </si>
  <si>
    <t>Accounting</t>
  </si>
  <si>
    <t>Accounting Clerk</t>
  </si>
  <si>
    <t>accounting clerk</t>
  </si>
  <si>
    <t>United States Postal Service</t>
  </si>
  <si>
    <t>United-States-Postal-Service</t>
  </si>
  <si>
    <t>Workshop Service Technician</t>
  </si>
  <si>
    <t>workshop service technician</t>
  </si>
  <si>
    <t>$68,761</t>
  </si>
  <si>
    <t>Automotive Technician</t>
  </si>
  <si>
    <t>automotive technician</t>
  </si>
  <si>
    <t>$64,935</t>
  </si>
  <si>
    <t>https://www.indeed.com/cmp/United-States-Postal-Service/salaries/Automotive-Technician</t>
  </si>
  <si>
    <t>$62,248</t>
  </si>
  <si>
    <t>https://www.indeed.com/cmp/United-States-Postal-Service/salaries/Maintenance-Mechanic</t>
  </si>
  <si>
    <t>Electronics Technician</t>
  </si>
  <si>
    <t>electronics technician</t>
  </si>
  <si>
    <t>$75,013</t>
  </si>
  <si>
    <t>https://www.indeed.com/cmp/United-States-Postal-Service/salaries/Electronics-Technician</t>
  </si>
  <si>
    <t>Equipment Mechanic</t>
  </si>
  <si>
    <t>equipment mechanic</t>
  </si>
  <si>
    <t>$71,279</t>
  </si>
  <si>
    <t>$74,772</t>
  </si>
  <si>
    <t>$54,862</t>
  </si>
  <si>
    <t>$66,259</t>
  </si>
  <si>
    <t>$70,277</t>
  </si>
  <si>
    <t>Postal Clerk</t>
  </si>
  <si>
    <t>postal clerk</t>
  </si>
  <si>
    <t>$21.75</t>
  </si>
  <si>
    <t>https://www.indeed.com/cmp/United-States-Postal-Service/salaries/Postal-Clerk</t>
  </si>
  <si>
    <t>Enterprise Mobility</t>
  </si>
  <si>
    <t>Enterprise-Rent-A-Car</t>
  </si>
  <si>
    <t>Staff Accountant</t>
  </si>
  <si>
    <t>staff accountant</t>
  </si>
  <si>
    <t>$48,655</t>
  </si>
  <si>
    <t>https://www.indeed.com/cmp/Enterprise-Mobility-2/salaries/Staff-Accountant</t>
  </si>
  <si>
    <t>Enterprise Rent-A-Car</t>
  </si>
  <si>
    <t>Accounts Payable Coordinator</t>
  </si>
  <si>
    <t>accounts payable coordinator</t>
  </si>
  <si>
    <t>$34,562</t>
  </si>
  <si>
    <t>https://www.indeed.com/cmp/Enterprise-Mobility-2/salaries/Accounts-Payable-Coordinator</t>
  </si>
  <si>
    <t>Accounting Coordinator</t>
  </si>
  <si>
    <t>accounting coordinator</t>
  </si>
  <si>
    <t>$41,569</t>
  </si>
  <si>
    <t>Accountant</t>
  </si>
  <si>
    <t>accountant</t>
  </si>
  <si>
    <t>$57,139</t>
  </si>
  <si>
    <t>https://www.indeed.com/cmp/Enterprise-Mobility-2/salaries/Accountant</t>
  </si>
  <si>
    <t>Accounting Supervisor</t>
  </si>
  <si>
    <t>accounting supervisor</t>
  </si>
  <si>
    <t>$68,976</t>
  </si>
  <si>
    <t>https://www.indeed.com/cmp/Enterprise-Mobility-2/salaries/Accounting-Supervisor</t>
  </si>
  <si>
    <t>Senior Accountant</t>
  </si>
  <si>
    <t>senior accountant</t>
  </si>
  <si>
    <t>$54,498</t>
  </si>
  <si>
    <t>https://www.indeed.com/cmp/Enterprise-Mobility-2/salaries/Senior-Accountant</t>
  </si>
  <si>
    <t>Accounting Intern</t>
  </si>
  <si>
    <t>accounting intern</t>
  </si>
  <si>
    <t>$20.63</t>
  </si>
  <si>
    <t>https://www.indeed.com/cmp/Enterprise-Mobility-2/salaries/Accounting-Intern</t>
  </si>
  <si>
    <t>Senior Staff Accountant</t>
  </si>
  <si>
    <t>senior staff accountant</t>
  </si>
  <si>
    <t>$62,952</t>
  </si>
  <si>
    <t>Internal Auditor</t>
  </si>
  <si>
    <t>internal auditor</t>
  </si>
  <si>
    <t>$84,793</t>
  </si>
  <si>
    <t>Accounts Payable Clerk</t>
  </si>
  <si>
    <t>accounts payable clerk</t>
  </si>
  <si>
    <t>$29,350</t>
  </si>
  <si>
    <t>Hertz</t>
  </si>
  <si>
    <t>Cleaning &amp; Sanitation</t>
  </si>
  <si>
    <t>Car Wash Attendant</t>
  </si>
  <si>
    <t>car wash attendant</t>
  </si>
  <si>
    <t>$15.47</t>
  </si>
  <si>
    <t>https://www.indeed.com/cmp/Hertz-1/salaries/Car-Wash-Attendant</t>
  </si>
  <si>
    <t>Cleaner</t>
  </si>
  <si>
    <t>cleaner</t>
  </si>
  <si>
    <t>$14.07</t>
  </si>
  <si>
    <t>https://www.indeed.com/cmp/Hertz-1/salaries/Cleaner</t>
  </si>
  <si>
    <t>Automotive Detailer</t>
  </si>
  <si>
    <t>automotive detailer</t>
  </si>
  <si>
    <t>$15.91</t>
  </si>
  <si>
    <t>https://www.indeed.com/cmp/Hertz-1/salaries/Automotive-Detailer</t>
  </si>
  <si>
    <t>Vehicle Care Representative</t>
  </si>
  <si>
    <t>vehicle care representative</t>
  </si>
  <si>
    <t>$42,883</t>
  </si>
  <si>
    <t>https://www.indeed.com/cmp/Hertz-1/salaries/Vehicle-Care-Representative</t>
  </si>
  <si>
    <t>Detailer</t>
  </si>
  <si>
    <t>detailer</t>
  </si>
  <si>
    <t>$12.37</t>
  </si>
  <si>
    <t>Detallador/a automotriz</t>
  </si>
  <si>
    <t>detallador automotriz</t>
  </si>
  <si>
    <t>$18.25</t>
  </si>
  <si>
    <t>Car Detailing</t>
  </si>
  <si>
    <t>car detailing</t>
  </si>
  <si>
    <t>$18.04</t>
  </si>
  <si>
    <t>Sales Consultant</t>
  </si>
  <si>
    <t>sales consultant</t>
  </si>
  <si>
    <t>$12.70</t>
  </si>
  <si>
    <t>$17.00</t>
  </si>
  <si>
    <t>$16.66</t>
  </si>
  <si>
    <t>Uber</t>
  </si>
  <si>
    <t>$20.04</t>
  </si>
  <si>
    <t>https://www.indeed.com/cmp/Uber/salaries/Driver</t>
  </si>
  <si>
    <t>Driver (Independent Contractor)</t>
  </si>
  <si>
    <t>driver (independent contractor)</t>
  </si>
  <si>
    <t>$24.02</t>
  </si>
  <si>
    <t>https://www.indeed.com/cmp/Uber/salaries/Driver-(Independent-Contractor)</t>
  </si>
  <si>
    <t>https://www.indeed.com/cmp/Uber/salaries/Delivery-Driver</t>
  </si>
  <si>
    <t>Independent Contractor</t>
  </si>
  <si>
    <t>independent contractor</t>
  </si>
  <si>
    <t>$17.68</t>
  </si>
  <si>
    <t>https://www.indeed.com/cmp/Uber/salaries/Independent-Contractor</t>
  </si>
  <si>
    <t>$13.28</t>
  </si>
  <si>
    <t>Courier</t>
  </si>
  <si>
    <t>courier</t>
  </si>
  <si>
    <t>$19.31</t>
  </si>
  <si>
    <t>Transporter</t>
  </si>
  <si>
    <t>transporter</t>
  </si>
  <si>
    <t>$40,000</t>
  </si>
  <si>
    <t>$254,143</t>
  </si>
  <si>
    <t>Drivers Helper</t>
  </si>
  <si>
    <t>drivers helper</t>
  </si>
  <si>
    <t>$50,000</t>
  </si>
  <si>
    <t>$108,342</t>
  </si>
  <si>
    <t>https://www.indeed.com/cmp/Uber/salaries/Operations-Manager</t>
  </si>
  <si>
    <t>Lyft Drivers</t>
  </si>
  <si>
    <t>Lyft</t>
  </si>
  <si>
    <t>Recruiter</t>
  </si>
  <si>
    <t>recruiter</t>
  </si>
  <si>
    <t>$91,467</t>
  </si>
  <si>
    <t>https://www.indeed.com/cmp/Lyft-Drivers-4/salaries/Recruiter</t>
  </si>
  <si>
    <t>Safety Specialist</t>
  </si>
  <si>
    <t>safety specialist</t>
  </si>
  <si>
    <t>$48,173</t>
  </si>
  <si>
    <t>https://www.indeed.com/cmp/Lyft-Drivers-4/salaries/Safety-Specialist</t>
  </si>
  <si>
    <t>Recruiting Coordinator</t>
  </si>
  <si>
    <t>recruiting coordinator</t>
  </si>
  <si>
    <t>$28.46</t>
  </si>
  <si>
    <t>Human Resources Business Partner</t>
  </si>
  <si>
    <t>human resources business partner</t>
  </si>
  <si>
    <t>$177,050</t>
  </si>
  <si>
    <t>$81,456</t>
  </si>
  <si>
    <t>https://www.indeed.com/cmp/Lyft-Drivers-4/salaries/Operations-Lead</t>
  </si>
  <si>
    <t>Program Leader</t>
  </si>
  <si>
    <t>program leader</t>
  </si>
  <si>
    <t>$83,455</t>
  </si>
  <si>
    <t>https://www.indeed.com/cmp/Lyft-Drivers-4/salaries/Program-Leader</t>
  </si>
  <si>
    <t>Vice President</t>
  </si>
  <si>
    <t>vice president</t>
  </si>
  <si>
    <t>$369,439</t>
  </si>
  <si>
    <t>$170,593</t>
  </si>
  <si>
    <t>$152,881</t>
  </si>
  <si>
    <t>$111,204</t>
  </si>
  <si>
    <t>Domino's</t>
  </si>
  <si>
    <t>$12.19</t>
  </si>
  <si>
    <t>https://www.indeed.com/cmp/Domino's/salaries/Customer-Service-Representative</t>
  </si>
  <si>
    <t>Customer Experience Agent</t>
  </si>
  <si>
    <t>customer experience agent</t>
  </si>
  <si>
    <t>https://www.indeed.com/cmp/Domino's/salaries/Customer-Experience-Agent</t>
  </si>
  <si>
    <t>Customer Service Manager</t>
  </si>
  <si>
    <t>customer service manager</t>
  </si>
  <si>
    <t>$11.68</t>
  </si>
  <si>
    <t>https://www.indeed.com/cmp/Domino's/salaries/Customer-Service-Manager</t>
  </si>
  <si>
    <t>Customer Representative</t>
  </si>
  <si>
    <t>customer representative</t>
  </si>
  <si>
    <t>https://www.indeed.com/cmp/Domino's/salaries/Customer-Representative</t>
  </si>
  <si>
    <t>$12.07</t>
  </si>
  <si>
    <t>Entry Level Customer Service Representative</t>
  </si>
  <si>
    <t>entry level customer service representative</t>
  </si>
  <si>
    <t>$11.81</t>
  </si>
  <si>
    <t>$11.19</t>
  </si>
  <si>
    <t>Counter Person</t>
  </si>
  <si>
    <t>counter person</t>
  </si>
  <si>
    <t>$15.52</t>
  </si>
  <si>
    <t>Customer Service Team Lead</t>
  </si>
  <si>
    <t>customer service team lead</t>
  </si>
  <si>
    <t>Pizza Cook</t>
  </si>
  <si>
    <t>pizza cook</t>
  </si>
  <si>
    <t>$13.98</t>
  </si>
  <si>
    <t>https://www.indeed.com/cmp/Domino's/salaries/Pizza-Cook</t>
  </si>
  <si>
    <t>DoorDash</t>
  </si>
  <si>
    <t>https://www.indeed.com/cmp/Doordash/salaries/Warehouse-Associate</t>
  </si>
  <si>
    <t>$111,244</t>
  </si>
  <si>
    <t>https://www.indeed.com/cmp/Doordash/salaries/Fulfillment-Associate</t>
  </si>
  <si>
    <t>Seasonal Warehouse Associate</t>
  </si>
  <si>
    <t>seasonal warehouse associate</t>
  </si>
  <si>
    <t>$16.48</t>
  </si>
  <si>
    <t>https://www.indeed.com/cmp/Doordash/salaries/Seasonal-Warehouse-Associate</t>
  </si>
  <si>
    <t>Fulfillment Manager</t>
  </si>
  <si>
    <t>fulfillment manager</t>
  </si>
  <si>
    <t>$90,940</t>
  </si>
  <si>
    <t>https://www.indeed.com/cmp/Doordash/salaries/Fulfillment-Manager</t>
  </si>
  <si>
    <t>Stocker</t>
  </si>
  <si>
    <t>stocker</t>
  </si>
  <si>
    <t>Inventory Associate</t>
  </si>
  <si>
    <t>inventory associate</t>
  </si>
  <si>
    <t>$92,708</t>
  </si>
  <si>
    <t>Warehouse Operations</t>
  </si>
  <si>
    <t>warehouse operations</t>
  </si>
  <si>
    <t>$32.33</t>
  </si>
  <si>
    <t>Warehouse General Manager</t>
  </si>
  <si>
    <t>warehouse general manager</t>
  </si>
  <si>
    <t>$89,455</t>
  </si>
  <si>
    <t>Warehouse Operations Manager</t>
  </si>
  <si>
    <t>warehouse operations manager</t>
  </si>
  <si>
    <t>$181,536</t>
  </si>
  <si>
    <t>$170,152</t>
  </si>
  <si>
    <t>https://www.indeed.com/cmp/Doordash/salaries/Software-Engineer</t>
  </si>
  <si>
    <t>PayPal</t>
  </si>
  <si>
    <t>$64,093</t>
  </si>
  <si>
    <t>https://www.indeed.com/cmp/Paypal/salaries/Account-Executive</t>
  </si>
  <si>
    <t>$38,647</t>
  </si>
  <si>
    <t>https://www.indeed.com/cmp/Paypal/salaries/Solution-Specialist</t>
  </si>
  <si>
    <t>$52,309</t>
  </si>
  <si>
    <t>https://www.indeed.com/cmp/Paypal/salaries/Collection-Agent</t>
  </si>
  <si>
    <t>Technical Account Manager</t>
  </si>
  <si>
    <t>technical account manager</t>
  </si>
  <si>
    <t>$146,614</t>
  </si>
  <si>
    <t>$222,400</t>
  </si>
  <si>
    <t>$101,132</t>
  </si>
  <si>
    <t>Enterprise Account Manager</t>
  </si>
  <si>
    <t>enterprise account manager</t>
  </si>
  <si>
    <t>$288,169</t>
  </si>
  <si>
    <t>Collection Manager</t>
  </si>
  <si>
    <t>collection manager</t>
  </si>
  <si>
    <t>$88,793</t>
  </si>
  <si>
    <t>Vendor</t>
  </si>
  <si>
    <t>vendor</t>
  </si>
  <si>
    <t>$200,514</t>
  </si>
  <si>
    <t>Senior Sales Director</t>
  </si>
  <si>
    <t>senior sales director</t>
  </si>
  <si>
    <t>$423,415</t>
  </si>
  <si>
    <t>Airbnb</t>
  </si>
  <si>
    <t>$222,382</t>
  </si>
  <si>
    <t>https://www.indeed.com/cmp/Airbnb/salaries/Senior-Manager</t>
  </si>
  <si>
    <t>$179,512</t>
  </si>
  <si>
    <t>https://www.indeed.com/cmp/Airbnb/salaries/Manager</t>
  </si>
  <si>
    <t>$308,137</t>
  </si>
  <si>
    <t>$16,949</t>
  </si>
  <si>
    <t>$17,788</t>
  </si>
  <si>
    <t>$168,937</t>
  </si>
  <si>
    <t>https://www.indeed.com/cmp/Airbnb/salaries/Program-Manager</t>
  </si>
  <si>
    <t>Senior Program Manager</t>
  </si>
  <si>
    <t>senior program manager</t>
  </si>
  <si>
    <t>$169,006</t>
  </si>
  <si>
    <t>https://www.indeed.com/cmp/Airbnb/salaries/Senior-Program-Manager</t>
  </si>
  <si>
    <t>$210,356</t>
  </si>
  <si>
    <t>https://www.indeed.com/cmp/Airbnb/salaries/Data-Scientist</t>
  </si>
  <si>
    <t>$135,622</t>
  </si>
  <si>
    <t>Arts &amp; Entertainment</t>
  </si>
  <si>
    <t>Designer</t>
  </si>
  <si>
    <t>designer</t>
  </si>
  <si>
    <t>$163,041</t>
  </si>
  <si>
    <t>https://www.indeed.com/cmp/Airbnb/salaries/Designer</t>
  </si>
  <si>
    <t>Panera Bread</t>
  </si>
  <si>
    <t>Panera-Bread</t>
  </si>
  <si>
    <t>$14.34</t>
  </si>
  <si>
    <t>https://www.indeed.com/cmp/Panera-Bread/salaries/Customer-Service-Associate---Cashier</t>
  </si>
  <si>
    <t>https://www.indeed.com/cmp/Panera-Bread/salaries/Cashier</t>
  </si>
  <si>
    <t>https://www.indeed.com/cmp/Panera-Bread/salaries/Retail-Sales-Associate</t>
  </si>
  <si>
    <t>$11.04</t>
  </si>
  <si>
    <t>https://www.indeed.com/cmp/Panera-Bread/salaries/Opener</t>
  </si>
  <si>
    <t>https://www.indeed.com/cmp/Panera-Bread/salaries/Cashier-Sales</t>
  </si>
  <si>
    <t>Retail Team Leader</t>
  </si>
  <si>
    <t>retail team leader</t>
  </si>
  <si>
    <t>$13.63</t>
  </si>
  <si>
    <t>https://www.indeed.com/cmp/Panera-Bread/salaries/Retail-Team-Leader</t>
  </si>
  <si>
    <t>$12.41</t>
  </si>
  <si>
    <t>https://www.indeed.com/cmp/Panera-Bread/salaries/Overnight-Closer</t>
  </si>
  <si>
    <t>Lead Cashier</t>
  </si>
  <si>
    <t>lead cashier</t>
  </si>
  <si>
    <t>https://www.indeed.com/cmp/Panera-Bread/salaries/Lead-Cashier</t>
  </si>
  <si>
    <t>Cashier/Stocker</t>
  </si>
  <si>
    <t>cashier/stocker</t>
  </si>
  <si>
    <t>https://www.indeed.com/cmp/Panera-Bread/salaries/Cashier-Stocker</t>
  </si>
  <si>
    <t>Checker</t>
  </si>
  <si>
    <t>checker</t>
  </si>
  <si>
    <t>https://www.indeed.com/cmp/Panera-Bread/salaries/Checker</t>
  </si>
  <si>
    <t>Chick-fil-A Restaurants</t>
  </si>
  <si>
    <t>Chick-fil-A</t>
  </si>
  <si>
    <t>Venta al por menor</t>
  </si>
  <si>
    <t>$14.66</t>
  </si>
  <si>
    <t>https://www.indeed.com/cmp/Chick--fil--a-Restaurants/salaries/Cashier</t>
  </si>
  <si>
    <t>https://www.indeed.com/cmp/Chick--fil--a-Restaurants/salaries/Customer-Service-Associate---Cashier</t>
  </si>
  <si>
    <t>$20.62</t>
  </si>
  <si>
    <t>https://www.indeed.com/cmp/Chick--fil--a-Restaurants/salaries/Store-Manager</t>
  </si>
  <si>
    <t>$18.60</t>
  </si>
  <si>
    <t>https://www.indeed.com/cmp/Chick--fil--a-Restaurants/salaries/Encargado-a-turno-a</t>
  </si>
  <si>
    <t>$15.33</t>
  </si>
  <si>
    <t>https://www.indeed.com/cmp/Chick--fil--a-Restaurants/salaries/Inventory-Specialist</t>
  </si>
  <si>
    <t>https://www.indeed.com/cmp/Chick--fil--a-Restaurants/salaries/Inventory-Manager</t>
  </si>
  <si>
    <t>https://www.indeed.com/cmp/Chick--fil--a-Restaurants/salaries/Seasonal-Associate</t>
  </si>
  <si>
    <t>$16.75</t>
  </si>
  <si>
    <t>https://www.indeed.com/cmp/Chick--fil--a-Restaurants/salaries/Retail-Sales-Associate</t>
  </si>
  <si>
    <t>https://www.indeed.com/cmp/Chick--fil--a-Restaurants/salaries/Opener</t>
  </si>
  <si>
    <t>$13.35</t>
  </si>
  <si>
    <t>https://www.indeed.com/cmp/Chick--fil--a-Restaurants/salaries/Delivery-Driver</t>
  </si>
  <si>
    <t>Costco Wholesale</t>
  </si>
  <si>
    <t>Costco-Wholesale</t>
  </si>
  <si>
    <t>Meat Carver</t>
  </si>
  <si>
    <t>meat carver</t>
  </si>
  <si>
    <t>$25.68</t>
  </si>
  <si>
    <t>https://www.indeed.com/cmp/Costco-Wholesale/salaries/Meat-Carver</t>
  </si>
  <si>
    <t>Cake Decorator</t>
  </si>
  <si>
    <t>cake decorator</t>
  </si>
  <si>
    <t>$23.97</t>
  </si>
  <si>
    <t>https://www.indeed.com/cmp/Costco-Wholesale/salaries/Cake-Decorator</t>
  </si>
  <si>
    <t>$21.89</t>
  </si>
  <si>
    <t>https://www.indeed.com/cmp/Costco-Wholesale/salaries/Food-Service-Worker</t>
  </si>
  <si>
    <t>$20.42</t>
  </si>
  <si>
    <t>https://www.indeed.com/cmp/Costco-Wholesale/salaries/Food-Service-Associate</t>
  </si>
  <si>
    <t>Baker</t>
  </si>
  <si>
    <t>baker</t>
  </si>
  <si>
    <t>$28.68</t>
  </si>
  <si>
    <t>https://www.indeed.com/cmp/Costco-Wholesale/salaries/Baker</t>
  </si>
  <si>
    <t>Bakery Manager</t>
  </si>
  <si>
    <t>bakery manager</t>
  </si>
  <si>
    <t>$92,196</t>
  </si>
  <si>
    <t>Meat Wrapper</t>
  </si>
  <si>
    <t>meat wrapper</t>
  </si>
  <si>
    <t>Bakery Assistant</t>
  </si>
  <si>
    <t>bakery assistant</t>
  </si>
  <si>
    <t>$17.97</t>
  </si>
  <si>
    <t>Sushi Chef</t>
  </si>
  <si>
    <t>sushi chef</t>
  </si>
  <si>
    <t>$24.62</t>
  </si>
  <si>
    <t>Kroger</t>
  </si>
  <si>
    <t>$82,563</t>
  </si>
  <si>
    <t>Department Leader</t>
  </si>
  <si>
    <t>department leader</t>
  </si>
  <si>
    <t>$19.96</t>
  </si>
  <si>
    <t>https://www.indeed.com/cmp/Kroger-54356a75/salaries/Department-Leader</t>
  </si>
  <si>
    <t>$66,443</t>
  </si>
  <si>
    <t>https://www.indeed.com/cmp/Kroger-54356a75/salaries/Assistant-Manager</t>
  </si>
  <si>
    <t>$66,458</t>
  </si>
  <si>
    <t>$85,468</t>
  </si>
  <si>
    <t>https://www.indeed.com/cmp/Kroger-54356a75/salaries/Category-Manager</t>
  </si>
  <si>
    <t>$52,020</t>
  </si>
  <si>
    <t>$40,891</t>
  </si>
  <si>
    <t>$20.86</t>
  </si>
  <si>
    <t>https://www.indeed.com/cmp/Kroger-54356a75/salaries/Manufacturing-Specialist</t>
  </si>
  <si>
    <t>$74,007</t>
  </si>
  <si>
    <t>https://www.indeed.com/cmp/Kroger-54356a75/salaries/Operations-Lead</t>
  </si>
  <si>
    <t>Manager On Duty</t>
  </si>
  <si>
    <t>manager on duty</t>
  </si>
  <si>
    <t>https://www.indeed.com/cmp/Kroger-54356a75/salaries/Manager-On-Duty</t>
  </si>
  <si>
    <t>UPS</t>
  </si>
  <si>
    <t>$21.06</t>
  </si>
  <si>
    <t>https://www.indeed.com/cmp/UPS/salaries/Delivery-Driver</t>
  </si>
  <si>
    <t>$23.55</t>
  </si>
  <si>
    <t>https://www.indeed.com/cmp/UPS/salaries/Driver</t>
  </si>
  <si>
    <t>$17.81</t>
  </si>
  <si>
    <t>https://www.indeed.com/cmp/UPS/salaries/Drivers-Helper</t>
  </si>
  <si>
    <t>$12.46</t>
  </si>
  <si>
    <t>https://www.indeed.com/cmp/UPS/salaries/Courier</t>
  </si>
  <si>
    <t>Tractor Trailer Driver</t>
  </si>
  <si>
    <t>tractor trailer driver</t>
  </si>
  <si>
    <t>$29.61</t>
  </si>
  <si>
    <t>https://www.indeed.com/cmp/UPS/salaries/Tractor-Trailer-Driver</t>
  </si>
  <si>
    <t>$29.44</t>
  </si>
  <si>
    <t>https://www.indeed.com/cmp/UPS/salaries/Truck-Driver</t>
  </si>
  <si>
    <t>Owner Operator Driver</t>
  </si>
  <si>
    <t>owner operator driver</t>
  </si>
  <si>
    <t>$3,930</t>
  </si>
  <si>
    <t>https://www.indeed.com/cmp/UPS/salaries/Owner-Operator-Driver</t>
  </si>
  <si>
    <t>$14.91</t>
  </si>
  <si>
    <t>Citi</t>
  </si>
  <si>
    <t>$100,272</t>
  </si>
  <si>
    <t>https://www.indeed.com/cmp/Citi/salaries/Software-Engineer</t>
  </si>
  <si>
    <t>$87,493</t>
  </si>
  <si>
    <t>https://www.indeed.com/cmp/Citi/salaries/Programmer-Analyst</t>
  </si>
  <si>
    <t>$150,477</t>
  </si>
  <si>
    <t>https://www.indeed.com/cmp/Citi/salaries/Technical-Lead</t>
  </si>
  <si>
    <t>$125,537</t>
  </si>
  <si>
    <t>https://www.indeed.com/cmp/Citi/salaries/Senior-Software-Engineer</t>
  </si>
  <si>
    <t>$130,179</t>
  </si>
  <si>
    <t>https://www.indeed.com/cmp/Citi/salaries/Product-Manager</t>
  </si>
  <si>
    <t>Senior Programmer Analyst</t>
  </si>
  <si>
    <t>senior programmer analyst</t>
  </si>
  <si>
    <t>$138,406</t>
  </si>
  <si>
    <t>https://www.indeed.com/cmp/Citi/salaries/Senior-Programmer-Analyst</t>
  </si>
  <si>
    <t>Application Developer</t>
  </si>
  <si>
    <t>application developer</t>
  </si>
  <si>
    <t>$109,440</t>
  </si>
  <si>
    <t>https://www.indeed.com/cmp/Citi/salaries/Application-Developer</t>
  </si>
  <si>
    <t>Software Engineering Manager</t>
  </si>
  <si>
    <t>software engineering manager</t>
  </si>
  <si>
    <t>$159,535</t>
  </si>
  <si>
    <t>https://www.indeed.com/cmp/Citi/salaries/Software-Engineering-Manager</t>
  </si>
  <si>
    <t>Developer</t>
  </si>
  <si>
    <t>developer</t>
  </si>
  <si>
    <t>$138,051</t>
  </si>
  <si>
    <t>https://www.indeed.com/cmp/Citi/salaries/Developer</t>
  </si>
  <si>
    <t>$111,233</t>
  </si>
  <si>
    <t>https://www.indeed.com/cmp/Citi/salaries/Data-Engineer</t>
  </si>
  <si>
    <t>Goldman Sachs</t>
  </si>
  <si>
    <t>Goldman-Sachs</t>
  </si>
  <si>
    <t>Financial Analyst</t>
  </si>
  <si>
    <t>financial analyst</t>
  </si>
  <si>
    <t>$84,718</t>
  </si>
  <si>
    <t>https://www.indeed.com/cmp/Goldman-Sachs/salaries/Financial-Analyst</t>
  </si>
  <si>
    <t>$128,679</t>
  </si>
  <si>
    <t>https://www.indeed.com/cmp/Goldman-Sachs/salaries/Internal-Auditor</t>
  </si>
  <si>
    <t>Controller</t>
  </si>
  <si>
    <t>controller</t>
  </si>
  <si>
    <t>$92,082</t>
  </si>
  <si>
    <t>https://www.indeed.com/cmp/Goldman-Sachs/salaries/Controller</t>
  </si>
  <si>
    <t>Credit Analyst</t>
  </si>
  <si>
    <t>credit analyst</t>
  </si>
  <si>
    <t>$87,887</t>
  </si>
  <si>
    <t>https://www.indeed.com/cmp/Goldman-Sachs/salaries/Credit-Analyst</t>
  </si>
  <si>
    <t>Senior Financial Analyst</t>
  </si>
  <si>
    <t>senior financial analyst</t>
  </si>
  <si>
    <t>$71,494</t>
  </si>
  <si>
    <t>https://www.indeed.com/cmp/Goldman-Sachs/salaries/Senior-Financial-Analyst</t>
  </si>
  <si>
    <t>Finance Associate</t>
  </si>
  <si>
    <t>finance associate</t>
  </si>
  <si>
    <t>$143,073</t>
  </si>
  <si>
    <t>https://www.indeed.com/cmp/Goldman-Sachs/salaries/Finance-Associate</t>
  </si>
  <si>
    <t>$98,286</t>
  </si>
  <si>
    <t>https://www.indeed.com/cmp/Goldman-Sachs/salaries/Accounting-Clerk</t>
  </si>
  <si>
    <t>Financial Controller</t>
  </si>
  <si>
    <t>financial controller</t>
  </si>
  <si>
    <t>$52,441</t>
  </si>
  <si>
    <t>Billing Analyst</t>
  </si>
  <si>
    <t>billing analyst</t>
  </si>
  <si>
    <t>$64,244</t>
  </si>
  <si>
    <t>Treasury Analyst</t>
  </si>
  <si>
    <t>treasury analyst</t>
  </si>
  <si>
    <t>$60,408</t>
  </si>
  <si>
    <t>Dell Technologies</t>
  </si>
  <si>
    <t>Dell-Technologies</t>
  </si>
  <si>
    <t>Senior Advisor</t>
  </si>
  <si>
    <t>senior advisor</t>
  </si>
  <si>
    <t>$139,742</t>
  </si>
  <si>
    <t>https://www.indeed.com/cmp/Dell-Technologies/salaries/Senior-Advisor</t>
  </si>
  <si>
    <t>$142,541</t>
  </si>
  <si>
    <t>https://www.indeed.com/cmp/Dell-Technologies/salaries/Consultant</t>
  </si>
  <si>
    <t>$211,341</t>
  </si>
  <si>
    <t>https://www.indeed.com/cmp/Dell-Technologies/salaries/Director</t>
  </si>
  <si>
    <t>$187,766</t>
  </si>
  <si>
    <t>https://www.indeed.com/cmp/Dell-Technologies/salaries/Senior-Consultant</t>
  </si>
  <si>
    <t>Business Advisor</t>
  </si>
  <si>
    <t>business advisor</t>
  </si>
  <si>
    <t>$46,998</t>
  </si>
  <si>
    <t>https://www.indeed.com/cmp/Dell-Technologies/salaries/Business-Advisor</t>
  </si>
  <si>
    <t>$159,992</t>
  </si>
  <si>
    <t>https://www.indeed.com/cmp/Dell-Technologies/salaries/Senior-Manager</t>
  </si>
  <si>
    <t>$94,517</t>
  </si>
  <si>
    <t>https://www.indeed.com/cmp/Dell-Technologies/salaries/Manager</t>
  </si>
  <si>
    <t>$261,472</t>
  </si>
  <si>
    <t>https://www.indeed.com/cmp/Dell-Technologies/salaries/Vice-President</t>
  </si>
  <si>
    <t>$129,746</t>
  </si>
  <si>
    <t>Product Line Manager</t>
  </si>
  <si>
    <t>product line manager</t>
  </si>
  <si>
    <t>$109,782</t>
  </si>
  <si>
    <t>https://www.indeed.com/cmp/Dell-Technologies/salaries/Product-Line-Manager</t>
  </si>
  <si>
    <t>Delta Air Lines</t>
  </si>
  <si>
    <t>Delta-Air-Lines</t>
  </si>
  <si>
    <t>$93,155</t>
  </si>
  <si>
    <t>https://www.indeed.com/cmp/Delta-Air-Lines/salaries/Software-Engineer</t>
  </si>
  <si>
    <t>$128,260</t>
  </si>
  <si>
    <t>https://www.indeed.com/cmp/Delta-Air-Lines/salaries/Data-Engineer</t>
  </si>
  <si>
    <t>$125,702</t>
  </si>
  <si>
    <t>https://www.indeed.com/cmp/Delta-Air-Lines/salaries/Senior-Software-Engineer</t>
  </si>
  <si>
    <t>Principal Software Engineer</t>
  </si>
  <si>
    <t>principal software engineer</t>
  </si>
  <si>
    <t>$140,463</t>
  </si>
  <si>
    <t>$108,279</t>
  </si>
  <si>
    <t>https://www.indeed.com/cmp/Delta-Air-Lines/salaries/Developer</t>
  </si>
  <si>
    <t>$139,866</t>
  </si>
  <si>
    <t>Senior Developer</t>
  </si>
  <si>
    <t>senior developer</t>
  </si>
  <si>
    <t>$128,003</t>
  </si>
  <si>
    <t>https://www.indeed.com/cmp/Delta-Air-Lines/salaries/Senior-Developer</t>
  </si>
  <si>
    <t>$103,358</t>
  </si>
  <si>
    <t>https://www.indeed.com/cmp/Delta-Air-Lines/salaries/Product-Owner</t>
  </si>
  <si>
    <t>$108,975</t>
  </si>
  <si>
    <t>https://www.indeed.com/cmp/Delta-Air-Lines/salaries/Product-Manager</t>
  </si>
  <si>
    <t>DevOps Engineer</t>
  </si>
  <si>
    <t>devops engineer</t>
  </si>
  <si>
    <t>$124,503</t>
  </si>
  <si>
    <t>United Airlines</t>
  </si>
  <si>
    <t>United-Airlines</t>
  </si>
  <si>
    <t>$94,005</t>
  </si>
  <si>
    <t>https://www.indeed.com/cmp/United-Airlines/salaries/Senior-Analyst</t>
  </si>
  <si>
    <t>$73,215</t>
  </si>
  <si>
    <t>https://www.indeed.com/cmp/United-Airlines/salaries/Analyst</t>
  </si>
  <si>
    <t>$65,138</t>
  </si>
  <si>
    <t>https://www.indeed.com/cmp/United-Airlines/salaries/Associate-Analyst</t>
  </si>
  <si>
    <t>$113,705</t>
  </si>
  <si>
    <t>https://www.indeed.com/cmp/United-Airlines/salaries/Business-Analyst</t>
  </si>
  <si>
    <t>$104,837</t>
  </si>
  <si>
    <t>https://www.indeed.com/cmp/United-Airlines/salaries/Senior-Business-Analyst</t>
  </si>
  <si>
    <t>$110,419</t>
  </si>
  <si>
    <t>https://www.indeed.com/cmp/United-Airlines/salaries/Data-Scientist</t>
  </si>
  <si>
    <t>Pricing Analyst</t>
  </si>
  <si>
    <t>pricing analyst</t>
  </si>
  <si>
    <t>$62,831</t>
  </si>
  <si>
    <t>$135,675</t>
  </si>
  <si>
    <t>https://www.indeed.com/cmp/United-Airlines/salaries/Senior-Data-Scientist</t>
  </si>
  <si>
    <t>$99,371</t>
  </si>
  <si>
    <t>https://www.indeed.com/cmp/United-Airlines/salaries/Senior-Data-Analyst</t>
  </si>
  <si>
    <t>$79,557</t>
  </si>
  <si>
    <t>https://www.indeed.com/cmp/United-Airlines/salaries/Data-Analyst</t>
  </si>
  <si>
    <t>American Airlines</t>
  </si>
  <si>
    <t>American-Airlines</t>
  </si>
  <si>
    <t>$106,548</t>
  </si>
  <si>
    <t>https://www.indeed.com/cmp/American-Airlines/salaries/Manager</t>
  </si>
  <si>
    <t>$162,004</t>
  </si>
  <si>
    <t>https://www.indeed.com/cmp/American-Airlines/salaries/Senior-Manager</t>
  </si>
  <si>
    <t>$185,688</t>
  </si>
  <si>
    <t>https://www.indeed.com/cmp/American-Airlines/salaries/Director</t>
  </si>
  <si>
    <t>$224,079</t>
  </si>
  <si>
    <t>https://www.indeed.com/cmp/American-Airlines/salaries/Captain</t>
  </si>
  <si>
    <t>Revenue Manager</t>
  </si>
  <si>
    <t>revenue manager</t>
  </si>
  <si>
    <t>$122,131</t>
  </si>
  <si>
    <t>https://www.indeed.com/cmp/American-Airlines/salaries/Revenue-Manager</t>
  </si>
  <si>
    <t>$67,646</t>
  </si>
  <si>
    <t>Senior Operations Manager</t>
  </si>
  <si>
    <t>senior operations manager</t>
  </si>
  <si>
    <t>$166,162</t>
  </si>
  <si>
    <t>Duty Manager</t>
  </si>
  <si>
    <t>duty manager</t>
  </si>
  <si>
    <t>$64,874</t>
  </si>
  <si>
    <t>Service Manager</t>
  </si>
  <si>
    <t>service manager</t>
  </si>
  <si>
    <t>$64,003</t>
  </si>
  <si>
    <t>Crew Supervisor</t>
  </si>
  <si>
    <t>crew supervisor</t>
  </si>
  <si>
    <t>$35.74</t>
  </si>
  <si>
    <t>The Coca-Cola Company</t>
  </si>
  <si>
    <t>The-Coca-Cola-Company</t>
  </si>
  <si>
    <t>https://www.indeed.com/cmp/The-Coca--cola-Company/salaries/Order-Picker</t>
  </si>
  <si>
    <t>$18.05</t>
  </si>
  <si>
    <t>https://www.indeed.com/cmp/The-Coca--cola-Company/salaries/Stocker</t>
  </si>
  <si>
    <t>Driver Merchandiser</t>
  </si>
  <si>
    <t>driver merchandiser</t>
  </si>
  <si>
    <t>$26.08</t>
  </si>
  <si>
    <t>https://www.indeed.com/cmp/The-Coca--cola-Company/salaries/Driver-Merchandiser</t>
  </si>
  <si>
    <t>Material Handler</t>
  </si>
  <si>
    <t>material handler</t>
  </si>
  <si>
    <t>$16.45</t>
  </si>
  <si>
    <t>https://www.indeed.com/cmp/The-Coca--cola-Company/salaries/Material-Handler</t>
  </si>
  <si>
    <t>Forklift Operator</t>
  </si>
  <si>
    <t>forklift operator</t>
  </si>
  <si>
    <t>$19.66</t>
  </si>
  <si>
    <t>Warehouse Supervisor</t>
  </si>
  <si>
    <t>warehouse supervisor</t>
  </si>
  <si>
    <t>$51.47</t>
  </si>
  <si>
    <t>Driver Assistant</t>
  </si>
  <si>
    <t>driver assistant</t>
  </si>
  <si>
    <t>Mover/Driver</t>
  </si>
  <si>
    <t>mover/driver</t>
  </si>
  <si>
    <t>$22.45</t>
  </si>
  <si>
    <t>Warehouse Clerk</t>
  </si>
  <si>
    <t>warehouse clerk</t>
  </si>
  <si>
    <t>Johnson &amp; Johnson</t>
  </si>
  <si>
    <t>Johnson-&amp;-Johnson</t>
  </si>
  <si>
    <t>$98,207</t>
  </si>
  <si>
    <t>https://www.indeed.com/cmp/Johnson-&amp;-Johnson/salaries/Sales-Representative</t>
  </si>
  <si>
    <t>$117,872</t>
  </si>
  <si>
    <t>https://www.indeed.com/cmp/Johnson-&amp;-Johnson/salaries/Sales-Specialist</t>
  </si>
  <si>
    <t>$110,276</t>
  </si>
  <si>
    <t>https://www.indeed.com/cmp/Johnson-&amp;-Johnson/salaries/Account-Specialist</t>
  </si>
  <si>
    <t>$74,035</t>
  </si>
  <si>
    <t>https://www.indeed.com/cmp/Johnson-&amp;-Johnson/salaries/Account-Executive</t>
  </si>
  <si>
    <t>$171,170</t>
  </si>
  <si>
    <t>https://www.indeed.com/cmp/Johnson-&amp;-Johnson/salaries/Key-Account-Manager</t>
  </si>
  <si>
    <t>Territory Manager</t>
  </si>
  <si>
    <t>territory manager</t>
  </si>
  <si>
    <t>$113,699</t>
  </si>
  <si>
    <t>https://www.indeed.com/cmp/Johnson-&amp;-Johnson/salaries/Territory-Manager</t>
  </si>
  <si>
    <t>Senior Account Specialist</t>
  </si>
  <si>
    <t>senior account specialist</t>
  </si>
  <si>
    <t>$105,109</t>
  </si>
  <si>
    <t>https://www.indeed.com/cmp/Johnson-&amp;-Johnson/salaries/Senior-Account-Specialist</t>
  </si>
  <si>
    <t>$70,274</t>
  </si>
  <si>
    <t>https://www.indeed.com/cmp/Johnson-&amp;-Johnson/salaries/Sales-Associate</t>
  </si>
  <si>
    <t>$115,917</t>
  </si>
  <si>
    <t>Regional Sales Manager</t>
  </si>
  <si>
    <t>regional sales manager</t>
  </si>
  <si>
    <t>$156,448</t>
  </si>
  <si>
    <t>Pfizer</t>
  </si>
  <si>
    <t>$192,602</t>
  </si>
  <si>
    <t>https://www.indeed.com/cmp/Pfizer/salaries/Principal-Software-Engineer</t>
  </si>
  <si>
    <t>Machine Learning Engineer</t>
  </si>
  <si>
    <t>machine learning engineer</t>
  </si>
  <si>
    <t>$129,502</t>
  </si>
  <si>
    <t>https://www.indeed.com/cmp/Pfizer/salaries/Machine-Learning-Engineer</t>
  </si>
  <si>
    <t>$182,872</t>
  </si>
  <si>
    <t>https://www.indeed.com/cmp/Pfizer/salaries/Product-Owner</t>
  </si>
  <si>
    <t>$119,836</t>
  </si>
  <si>
    <t>https://www.indeed.com/cmp/Pfizer/salaries/Software-Engineer</t>
  </si>
  <si>
    <t>Engineering Lead</t>
  </si>
  <si>
    <t>engineering lead</t>
  </si>
  <si>
    <t>$125,382</t>
  </si>
  <si>
    <t>https://www.indeed.com/cmp/Pfizer/salaries/Engineering-Lead</t>
  </si>
  <si>
    <t>$129,646</t>
  </si>
  <si>
    <t>https://www.indeed.com/cmp/Pfizer/salaries/Data-Engineer</t>
  </si>
  <si>
    <t>Director of Product Management</t>
  </si>
  <si>
    <t>director of product management</t>
  </si>
  <si>
    <t>$209,548</t>
  </si>
  <si>
    <t>Platform Engineer</t>
  </si>
  <si>
    <t>platform engineer</t>
  </si>
  <si>
    <t>$117,439</t>
  </si>
  <si>
    <t>Site Reliability Engineer</t>
  </si>
  <si>
    <t>site reliability engineer</t>
  </si>
  <si>
    <t>$130,101</t>
  </si>
  <si>
    <t>Automation Engineer</t>
  </si>
  <si>
    <t>automation engineer</t>
  </si>
  <si>
    <t>$81,354</t>
  </si>
  <si>
    <t>Taco Bell</t>
  </si>
  <si>
    <t>Taco-Bell</t>
  </si>
  <si>
    <t>$14.39</t>
  </si>
  <si>
    <t>https://www.indeed.com/cmp/Taco-Bell/salaries/Cashier</t>
  </si>
  <si>
    <t>https://www.indeed.com/cmp/Taco-Bell/salaries/Customer-Service-Associate---Cashier</t>
  </si>
  <si>
    <t>QSR Manager</t>
  </si>
  <si>
    <t>qsr manager</t>
  </si>
  <si>
    <t>$60,122</t>
  </si>
  <si>
    <t>$14.21</t>
  </si>
  <si>
    <t>https://www.indeed.com/cmp/Taco-Bell/salaries/Lead-Cashier</t>
  </si>
  <si>
    <t>$15.42</t>
  </si>
  <si>
    <t>https://www.indeed.com/cmp/Taco-Bell/salaries/Assistant-Store-Manager</t>
  </si>
  <si>
    <t>Member Team Lead</t>
  </si>
  <si>
    <t>member team lead</t>
  </si>
  <si>
    <t>Lead Team Member</t>
  </si>
  <si>
    <t>lead team member</t>
  </si>
  <si>
    <t>$13.17</t>
  </si>
  <si>
    <t>https://www.indeed.com/cmp/Taco-Bell/salaries/Lead-Team-Member</t>
  </si>
  <si>
    <t>$50,847</t>
  </si>
  <si>
    <t>$12.04</t>
  </si>
  <si>
    <t>https://www.indeed.com/cmp/Taco-Bell/salaries/Customer-Service-Representative</t>
  </si>
  <si>
    <t>Dollar General</t>
  </si>
  <si>
    <t>Dollar-General</t>
  </si>
  <si>
    <t>$19.40</t>
  </si>
  <si>
    <t>https://www.indeed.com/cmp/Dollar-General/salaries/Warehouse-Worker</t>
  </si>
  <si>
    <t>$19.44</t>
  </si>
  <si>
    <t>https://www.indeed.com/cmp/Dollar-General/salaries/Order-Picker</t>
  </si>
  <si>
    <t>$20.27</t>
  </si>
  <si>
    <t>https://www.indeed.com/cmp/Dollar-General/salaries/Distribution-Center-Supervisor</t>
  </si>
  <si>
    <t>Warehouse Supervisor II</t>
  </si>
  <si>
    <t>warehouse supervisor ii</t>
  </si>
  <si>
    <t>$71,894</t>
  </si>
  <si>
    <t>https://www.indeed.com/cmp/Dollar-General/salaries/Warehouse-Supervisor-II</t>
  </si>
  <si>
    <t>$21.43</t>
  </si>
  <si>
    <t>https://www.indeed.com/cmp/Dollar-General/salaries/Order-Filler</t>
  </si>
  <si>
    <t>$15.28</t>
  </si>
  <si>
    <t>https://www.indeed.com/cmp/Dollar-General/salaries/Stocker</t>
  </si>
  <si>
    <t>$18.17</t>
  </si>
  <si>
    <t>https://www.indeed.com/cmp/Dollar-General/salaries/Forklift-Operator</t>
  </si>
  <si>
    <t>Distribution Center Operations Manager</t>
  </si>
  <si>
    <t>distribution center operations manager</t>
  </si>
  <si>
    <t>$82,641</t>
  </si>
  <si>
    <t>https://www.indeed.com/cmp/Dollar-General/salaries/Distribution-Center-Operations-Manager</t>
  </si>
  <si>
    <t>Distribution Center Manager</t>
  </si>
  <si>
    <t>distribution center manager</t>
  </si>
  <si>
    <t>$96,172</t>
  </si>
  <si>
    <t>https://www.indeed.com/cmp/Dollar-General/salaries/Distribution-Center-Manager</t>
  </si>
  <si>
    <t>ALDI</t>
  </si>
  <si>
    <t>Aldi</t>
  </si>
  <si>
    <t>$27.95</t>
  </si>
  <si>
    <t>https://www.indeed.com/cmp/Aldi/salaries/District-Manager</t>
  </si>
  <si>
    <t>$31.62</t>
  </si>
  <si>
    <t>https://www.indeed.com/cmp/Aldi/salaries/Management-Trainee</t>
  </si>
  <si>
    <t>$35.01</t>
  </si>
  <si>
    <t>https://www.indeed.com/cmp/Aldi/salaries/Shift-Manager</t>
  </si>
  <si>
    <t>$28.52</t>
  </si>
  <si>
    <t>https://www.indeed.com/cmp/Aldi/salaries/Shift-Leader</t>
  </si>
  <si>
    <t>$24.79</t>
  </si>
  <si>
    <t>https://www.indeed.com/cmp/Aldi/salaries/Assistant-Manager</t>
  </si>
  <si>
    <t>Facilities Manager</t>
  </si>
  <si>
    <t>facilities manager</t>
  </si>
  <si>
    <t>$109,050</t>
  </si>
  <si>
    <t>https://www.indeed.com/cmp/Aldi/salaries/Facilities-Manager</t>
  </si>
  <si>
    <t>$228,609</t>
  </si>
  <si>
    <t>https://www.indeed.com/cmp/Aldi/salaries/Director</t>
  </si>
  <si>
    <t>$122,871</t>
  </si>
  <si>
    <t>https://www.indeed.com/cmp/Aldi/salaries/Manager</t>
  </si>
  <si>
    <t>Quality Assurance Coordinator</t>
  </si>
  <si>
    <t>quality assurance coordinator</t>
  </si>
  <si>
    <t>$28.21</t>
  </si>
  <si>
    <t>Buying Manager</t>
  </si>
  <si>
    <t>buying manager</t>
  </si>
  <si>
    <t>$150,747</t>
  </si>
  <si>
    <t>Safeway</t>
  </si>
  <si>
    <t>https://www.indeed.com/cmp/Safeway/salaries/Pharmacy-Technician</t>
  </si>
  <si>
    <t>$22.29</t>
  </si>
  <si>
    <t>https://www.indeed.com/cmp/Safeway/salaries/Certified-Pharmacy-Technician</t>
  </si>
  <si>
    <t>$19.72</t>
  </si>
  <si>
    <t>https://www.indeed.com/cmp/Safeway/salaries/Pharmacy-Assistant</t>
  </si>
  <si>
    <t>$68.00</t>
  </si>
  <si>
    <t>https://www.indeed.com/cmp/Safeway/salaries/Staff-Pharmacist</t>
  </si>
  <si>
    <t>$21.02</t>
  </si>
  <si>
    <t>https://www.indeed.com/cmp/Safeway/salaries/Pharmacy-Clerk</t>
  </si>
  <si>
    <t>$67.21</t>
  </si>
  <si>
    <t>https://www.indeed.com/cmp/Safeway/salaries/Pharmacist</t>
  </si>
  <si>
    <t>$71.84</t>
  </si>
  <si>
    <t>https://www.indeed.com/cmp/Safeway/salaries/Pharmacy-Manager</t>
  </si>
  <si>
    <t>$19.52</t>
  </si>
  <si>
    <t>https://www.indeed.com/cmp/Safeway/salaries/Pharmacy-Intern</t>
  </si>
  <si>
    <t>Senior Certified Pharmacy Technician</t>
  </si>
  <si>
    <t>senior certified pharmacy technician</t>
  </si>
  <si>
    <t>$18.72</t>
  </si>
  <si>
    <t>Pharmacy Technician II</t>
  </si>
  <si>
    <t>pharmacy technician ii</t>
  </si>
  <si>
    <t>Albertsons</t>
  </si>
  <si>
    <t>$19.22</t>
  </si>
  <si>
    <t>https://www.indeed.com/cmp/Albertsons/salaries/Pharmacy-Technician</t>
  </si>
  <si>
    <t>$17.57</t>
  </si>
  <si>
    <t>https://www.indeed.com/cmp/Albertsons/salaries/Certified-Pharmacy-Technician</t>
  </si>
  <si>
    <t>https://www.indeed.com/cmp/Albertsons/salaries/Pharmacy-Clerk</t>
  </si>
  <si>
    <t>$67.09</t>
  </si>
  <si>
    <t>$74.39</t>
  </si>
  <si>
    <t>https://www.indeed.com/cmp/Albertsons/salaries/Pharmacy-Manager</t>
  </si>
  <si>
    <t>$68.09</t>
  </si>
  <si>
    <t>https://www.indeed.com/cmp/Albertsons/salaries/Pharmacist</t>
  </si>
  <si>
    <t>$21.05</t>
  </si>
  <si>
    <t>https://www.indeed.com/cmp/Albertsons/salaries/Pharmacy-Intern</t>
  </si>
  <si>
    <t>https://www.indeed.com/cmp/Albertsons/salaries/Pharmacy-Assistant</t>
  </si>
  <si>
    <t>$17.37</t>
  </si>
  <si>
    <t>https://www.indeed.com/cmp/Albertsons/salaries/Manager</t>
  </si>
  <si>
    <t>Closing Manager</t>
  </si>
  <si>
    <t>closing manager</t>
  </si>
  <si>
    <t>$16.55</t>
  </si>
  <si>
    <t>https://www.indeed.com/cmp/Albertsons/salaries/Closing-Manager</t>
  </si>
  <si>
    <t>Instacart</t>
  </si>
  <si>
    <t>$17.38</t>
  </si>
  <si>
    <t>$201,610</t>
  </si>
  <si>
    <t>Site Manager</t>
  </si>
  <si>
    <t>site manager</t>
  </si>
  <si>
    <t>$48,872</t>
  </si>
  <si>
    <t>$111,433</t>
  </si>
  <si>
    <t>$267,642</t>
  </si>
  <si>
    <t>$192,690</t>
  </si>
  <si>
    <t>https://www.indeed.com/cmp/Instacart/salaries/Senior-Data-Scientist</t>
  </si>
  <si>
    <t>$183,723</t>
  </si>
  <si>
    <t>https://www.indeed.com/cmp/Instacart/salaries/Data-Scientist</t>
  </si>
  <si>
    <t>$64,333</t>
  </si>
  <si>
    <t>https://www.indeed.com/cmp/Instacart/salaries/Safety-Specialist</t>
  </si>
  <si>
    <t>Technical Recruiter</t>
  </si>
  <si>
    <t>technical recruiter</t>
  </si>
  <si>
    <t>$128,818</t>
  </si>
  <si>
    <t>Salesforce</t>
  </si>
  <si>
    <t>$240,039</t>
  </si>
  <si>
    <t>https://www.indeed.com/cmp/Salesforce/salaries/Director</t>
  </si>
  <si>
    <t>$145,846</t>
  </si>
  <si>
    <t>https://www.indeed.com/cmp/Salesforce/salaries/Manager</t>
  </si>
  <si>
    <t>$202,594</t>
  </si>
  <si>
    <t>https://www.indeed.com/cmp/Salesforce/salaries/Senior-Manager</t>
  </si>
  <si>
    <t>Regional Vice President</t>
  </si>
  <si>
    <t>regional vice president</t>
  </si>
  <si>
    <t>$231,430</t>
  </si>
  <si>
    <t>https://www.indeed.com/cmp/Salesforce/salaries/Regional-Vice-President</t>
  </si>
  <si>
    <t>$293,832</t>
  </si>
  <si>
    <t>https://www.indeed.com/cmp/Salesforce/salaries/Vice-President</t>
  </si>
  <si>
    <t>Senior Director</t>
  </si>
  <si>
    <t>senior director</t>
  </si>
  <si>
    <t>$304,715</t>
  </si>
  <si>
    <t>$81,060</t>
  </si>
  <si>
    <t>https://www.indeed.com/cmp/Salesforce/salaries/Business-Development-Manager</t>
  </si>
  <si>
    <t>Strategy Manager</t>
  </si>
  <si>
    <t>strategy manager</t>
  </si>
  <si>
    <t>$161,839</t>
  </si>
  <si>
    <t>https://www.indeed.com/cmp/Salesforce/salaries/Strategy-Manager</t>
  </si>
  <si>
    <t>$184,002</t>
  </si>
  <si>
    <t>https://www.indeed.com/cmp/Salesforce/salaries/Senior-Operations-Manager</t>
  </si>
  <si>
    <t>Senior Vice President of Customer Success</t>
  </si>
  <si>
    <t>senior vice president of customer success</t>
  </si>
  <si>
    <t>$113,507</t>
  </si>
  <si>
    <t>https://www.indeed.com/cmp/Salesforce/salaries/Senior-Vice-President-of-Customer-Success</t>
  </si>
  <si>
    <t>Adobe</t>
  </si>
  <si>
    <t>$212,563</t>
  </si>
  <si>
    <t>https://www.indeed.com/cmp/Adobe/salaries/Director</t>
  </si>
  <si>
    <t>$176,864</t>
  </si>
  <si>
    <t>https://www.indeed.com/cmp/Adobe/salaries/Manager</t>
  </si>
  <si>
    <t>Group Manager</t>
  </si>
  <si>
    <t>group manager</t>
  </si>
  <si>
    <t>$211,084</t>
  </si>
  <si>
    <t>Director of Engineering</t>
  </si>
  <si>
    <t>director of engineering</t>
  </si>
  <si>
    <t>$290,689</t>
  </si>
  <si>
    <t>Design Manager</t>
  </si>
  <si>
    <t>design manager</t>
  </si>
  <si>
    <t>$207,226</t>
  </si>
  <si>
    <t>$370,098</t>
  </si>
  <si>
    <t>$131,445</t>
  </si>
  <si>
    <t>$178,567</t>
  </si>
  <si>
    <t>$294,992</t>
  </si>
  <si>
    <t>$31.58</t>
  </si>
  <si>
    <t>Deloitte</t>
  </si>
  <si>
    <t>$83,796</t>
  </si>
  <si>
    <t>https://www.indeed.com/cmp/Deloitte/salaries/Analyst</t>
  </si>
  <si>
    <t>$82,552</t>
  </si>
  <si>
    <t>https://www.indeed.com/cmp/Deloitte/salaries/Business-Analyst</t>
  </si>
  <si>
    <t>$118,918</t>
  </si>
  <si>
    <t>https://www.indeed.com/cmp/Deloitte/salaries/Data-Scientist</t>
  </si>
  <si>
    <t>$86,269</t>
  </si>
  <si>
    <t>https://www.indeed.com/cmp/Deloitte/salaries/Senior-Analyst</t>
  </si>
  <si>
    <t>Analytics Consultant</t>
  </si>
  <si>
    <t>analytics consultant</t>
  </si>
  <si>
    <t>$93,651</t>
  </si>
  <si>
    <t>https://www.indeed.com/cmp/Deloitte/salaries/Analytics-Consultant</t>
  </si>
  <si>
    <t>Junior Analyst</t>
  </si>
  <si>
    <t>junior analyst</t>
  </si>
  <si>
    <t>$62,919</t>
  </si>
  <si>
    <t>$89,313</t>
  </si>
  <si>
    <t>Analytics Manager</t>
  </si>
  <si>
    <t>analytics manager</t>
  </si>
  <si>
    <t>$187,127</t>
  </si>
  <si>
    <t>$139,689</t>
  </si>
  <si>
    <t>$89,870</t>
  </si>
  <si>
    <t>https://www.indeed.com/cmp/Deloitte/salaries/Technology-Analyst</t>
  </si>
  <si>
    <t>Intel Corporation</t>
  </si>
  <si>
    <t>Intel</t>
  </si>
  <si>
    <t>$243,858</t>
  </si>
  <si>
    <t>https://www.indeed.com/cmp/Intel-Corporation/salaries/Director</t>
  </si>
  <si>
    <t>$112,541</t>
  </si>
  <si>
    <t>https://www.indeed.com/cmp/Intel-Corporation/salaries/Operations-Manager</t>
  </si>
  <si>
    <t>$153,509</t>
  </si>
  <si>
    <t>https://www.indeed.com/cmp/Intel-Corporation/salaries/Manager</t>
  </si>
  <si>
    <t>Group Leader</t>
  </si>
  <si>
    <t>group leader</t>
  </si>
  <si>
    <t>$144,288</t>
  </si>
  <si>
    <t>https://www.indeed.com/cmp/Intel-Corporation/salaries/Group-Leader</t>
  </si>
  <si>
    <t>Capacity Manager</t>
  </si>
  <si>
    <t>capacity manager</t>
  </si>
  <si>
    <t>$68,804</t>
  </si>
  <si>
    <t>https://www.indeed.com/cmp/Intel-Corporation/salaries/Capacity-Manager</t>
  </si>
  <si>
    <t>Business Operations Manager</t>
  </si>
  <si>
    <t>business operations manager</t>
  </si>
  <si>
    <t>$126,378</t>
  </si>
  <si>
    <t>https://www.indeed.com/cmp/Intel-Corporation/salaries/Business-Operations-Manager</t>
  </si>
  <si>
    <t>$269,645</t>
  </si>
  <si>
    <t>https://www.indeed.com/cmp/Intel-Corporation/salaries/Senior-Director</t>
  </si>
  <si>
    <t>$153,855</t>
  </si>
  <si>
    <t>https://www.indeed.com/cmp/Intel-Corporation/salaries/Business-Development-Manager</t>
  </si>
  <si>
    <t>Supply Manager</t>
  </si>
  <si>
    <t>supply manager</t>
  </si>
  <si>
    <t>$89,080</t>
  </si>
  <si>
    <t>https://www.indeed.com/cmp/Intel-Corporation/salaries/Supply-Manager</t>
  </si>
  <si>
    <t>$203,640</t>
  </si>
  <si>
    <t>https://www.indeed.com/cmp/Intel-Corporation/salaries/Senior-Manager</t>
  </si>
  <si>
    <t>Cisco</t>
  </si>
  <si>
    <t>$105,219</t>
  </si>
  <si>
    <t>https://www.indeed.com/cmp/Cisco/salaries/Account-Manager</t>
  </si>
  <si>
    <t>$113,140</t>
  </si>
  <si>
    <t>https://www.indeed.com/cmp/Cisco/salaries/Account-Executive</t>
  </si>
  <si>
    <t>$94,322</t>
  </si>
  <si>
    <t>https://www.indeed.com/cmp/Cisco/salaries/Partnership-Manager</t>
  </si>
  <si>
    <t>$150,378</t>
  </si>
  <si>
    <t>https://www.indeed.com/cmp/Cisco/salaries/Sales</t>
  </si>
  <si>
    <t>$108,048</t>
  </si>
  <si>
    <t>https://www.indeed.com/cmp/Cisco/salaries/Sales-Specialist</t>
  </si>
  <si>
    <t>Sales Account Manager</t>
  </si>
  <si>
    <t>sales account manager</t>
  </si>
  <si>
    <t>$68,594</t>
  </si>
  <si>
    <t>https://www.indeed.com/cmp/Cisco/salaries/Sales-Account-Manager</t>
  </si>
  <si>
    <t>$62,337</t>
  </si>
  <si>
    <t>https://www.indeed.com/cmp/Cisco/salaries/Sales-Representative</t>
  </si>
  <si>
    <t>$143,611</t>
  </si>
  <si>
    <t>https://www.indeed.com/cmp/Cisco/salaries/Solutions-Engineer</t>
  </si>
  <si>
    <t>$118,714</t>
  </si>
  <si>
    <t>https://www.indeed.com/cmp/Cisco/salaries/Product-Specialist</t>
  </si>
  <si>
    <t>Plan Manager</t>
  </si>
  <si>
    <t>plan manager</t>
  </si>
  <si>
    <t>$162,688</t>
  </si>
  <si>
    <t>https://www.indeed.com/cmp/Cisco/salaries/Plan-Manager</t>
  </si>
  <si>
    <t>KFC</t>
  </si>
  <si>
    <t>$12.27</t>
  </si>
  <si>
    <t>https://www.indeed.com/cmp/KFC/salaries/Customer-Service-Representative</t>
  </si>
  <si>
    <t>$7.25</t>
  </si>
  <si>
    <t>Customer Experience Coordinator</t>
  </si>
  <si>
    <t>customer experience coordinator</t>
  </si>
  <si>
    <t>$19.49</t>
  </si>
  <si>
    <t>$12.39</t>
  </si>
  <si>
    <t>https://www.indeed.com/cmp/KFC/salaries/Cashier</t>
  </si>
  <si>
    <t>$11.50</t>
  </si>
  <si>
    <t>https://www.indeed.com/cmp/KFC/salaries/Customer-Service-Associate---Cashier</t>
  </si>
  <si>
    <t>$48,727</t>
  </si>
  <si>
    <t>https://www.indeed.com/cmp/KFC/salaries/Store-Manager</t>
  </si>
  <si>
    <t>$12.60</t>
  </si>
  <si>
    <t>$13.73</t>
  </si>
  <si>
    <t>https://www.indeed.com/cmp/KFC/salaries/Utility-Worker</t>
  </si>
  <si>
    <t>$25.54</t>
  </si>
  <si>
    <t>https://www.indeed.com/cmp/KFC/salaries/Maintenance-Technician</t>
  </si>
  <si>
    <t>TJ Maxx</t>
  </si>
  <si>
    <t>TJ-Maxx</t>
  </si>
  <si>
    <t>Security &amp; Public Safety</t>
  </si>
  <si>
    <t>Loss Prevention Director</t>
  </si>
  <si>
    <t>loss prevention director</t>
  </si>
  <si>
    <t>$20.29</t>
  </si>
  <si>
    <t>https://www.indeed.com/cmp/Tj-Maxx-b309bf65/salaries/Loss-Prevention-Director</t>
  </si>
  <si>
    <t>Security Guard</t>
  </si>
  <si>
    <t>security guard</t>
  </si>
  <si>
    <t>$16.57</t>
  </si>
  <si>
    <t>Marshal</t>
  </si>
  <si>
    <t>marshal</t>
  </si>
  <si>
    <t>$15.17</t>
  </si>
  <si>
    <t>https://www.indeed.com/cmp/Tj-Maxx-b309bf65/salaries/Marshal</t>
  </si>
  <si>
    <t>Loss Prevention Officer</t>
  </si>
  <si>
    <t>loss prevention officer</t>
  </si>
  <si>
    <t>$17.51</t>
  </si>
  <si>
    <t>https://www.indeed.com/cmp/Tj-Maxx-b309bf65/salaries/Loss-Prevention-Officer</t>
  </si>
  <si>
    <t>$12.62</t>
  </si>
  <si>
    <t>https://www.indeed.com/cmp/Tj-Maxx-b309bf65/salaries/Sales-Associate</t>
  </si>
  <si>
    <t>$37,839</t>
  </si>
  <si>
    <t>Promoter</t>
  </si>
  <si>
    <t>promoter</t>
  </si>
  <si>
    <t>$12.00</t>
  </si>
  <si>
    <t>https://www.indeed.com/cmp/Tj-Maxx-b309bf65/salaries/Warehouse-Worker</t>
  </si>
  <si>
    <t>https://www.indeed.com/cmp/Tj-Maxx-b309bf65/salaries/Stocker</t>
  </si>
  <si>
    <t>Shipping and Receiving Clerk</t>
  </si>
  <si>
    <t>shipping and receiving clerk</t>
  </si>
  <si>
    <t>$31,938</t>
  </si>
  <si>
    <t>Ross Dress For Less</t>
  </si>
  <si>
    <t>Ross-Stores</t>
  </si>
  <si>
    <t>$15.12</t>
  </si>
  <si>
    <t>https://www.indeed.com/cmp/Ross-Dress-For-Less/salaries/Loss-Prevention-Director</t>
  </si>
  <si>
    <t>Ross Stores</t>
  </si>
  <si>
    <t>https://www.indeed.com/cmp/Ross-Dress-For-Less/salaries/Loss-Prevention-Officer</t>
  </si>
  <si>
    <t>Asset Protection Specialist</t>
  </si>
  <si>
    <t>asset protection specialist</t>
  </si>
  <si>
    <t>$18.31</t>
  </si>
  <si>
    <t>https://www.indeed.com/cmp/Ross-Dress-For-Less/salaries/Asset-Protection-Specialist</t>
  </si>
  <si>
    <t>Protection Specialist</t>
  </si>
  <si>
    <t>protection specialist</t>
  </si>
  <si>
    <t>$11.64</t>
  </si>
  <si>
    <t>https://www.indeed.com/cmp/Ross-Dress-For-Less/salaries/Protection-Specialist</t>
  </si>
  <si>
    <t>Security Specialist</t>
  </si>
  <si>
    <t>security specialist</t>
  </si>
  <si>
    <t>$15.80</t>
  </si>
  <si>
    <t>https://www.indeed.com/cmp/Ross-Dress-For-Less/salaries/Security-Specialist</t>
  </si>
  <si>
    <t>Night Watch Staff</t>
  </si>
  <si>
    <t>night watch staff</t>
  </si>
  <si>
    <t>$13.39</t>
  </si>
  <si>
    <t>https://www.indeed.com/cmp/Ross-Dress-For-Less/salaries/Night-Watch-Staff</t>
  </si>
  <si>
    <t>Security Officer</t>
  </si>
  <si>
    <t>security officer</t>
  </si>
  <si>
    <t>Loss Prevention Manager</t>
  </si>
  <si>
    <t>loss prevention manager</t>
  </si>
  <si>
    <t>$72,768</t>
  </si>
  <si>
    <t>$12.30</t>
  </si>
  <si>
    <t>https://www.indeed.com/cmp/Ross-Dress-For-Less/salaries/Stocker</t>
  </si>
  <si>
    <t>Pay-period -&gt; Annual multiplier reference table</t>
  </si>
  <si>
    <t>Period</t>
  </si>
  <si>
    <t>Multiplier</t>
  </si>
  <si>
    <t>Basis</t>
  </si>
  <si>
    <t>40 hrs/week x 52 weeks</t>
  </si>
  <si>
    <t>52 weeks/year</t>
  </si>
  <si>
    <t>12 months/year</t>
  </si>
  <si>
    <t>already annual</t>
  </si>
  <si>
    <t>Company</t>
  </si>
  <si>
    <t>Category</t>
  </si>
  <si>
    <t>JobTitle</t>
  </si>
  <si>
    <t>MedianSalary</t>
  </si>
  <si>
    <t>SalaryPeriod</t>
  </si>
  <si>
    <t>ReportedCount</t>
  </si>
  <si>
    <t>AnnualSalary</t>
  </si>
  <si>
    <t>Key</t>
  </si>
  <si>
    <t>A. INDEX/MATCH — exact match on Company + Job Title</t>
  </si>
  <si>
    <t>Company:</t>
  </si>
  <si>
    <t>Job Title:</t>
  </si>
  <si>
    <t>Lookup Key (=Company&amp;"|"&amp;JobTitle):</t>
  </si>
  <si>
    <t>Category (INDEX/MATCH):</t>
  </si>
  <si>
    <t>Annual Salary (INDEX/MATCH):</t>
  </si>
  <si>
    <t>B. VLOOKUP — first row match on Company (single criterion)</t>
  </si>
  <si>
    <t>First matching Job Title (VLOOKUP col 4 of Raw_Data):</t>
  </si>
  <si>
    <t>That row's Category (VLOOKUP col 3):</t>
  </si>
  <si>
    <t>C. HLOOKUP — horizontal lookup on pay period</t>
  </si>
  <si>
    <t>Pay Period:</t>
  </si>
  <si>
    <t>Annual Multiplier (HLOOKUP):</t>
  </si>
  <si>
    <t>Pivot Summary</t>
  </si>
  <si>
    <t>A formula-built summary (SUMIFS/AVERAGEIFS/COUNTIFS) — plus how to build a real, refreshable native PivotTable.</t>
  </si>
  <si>
    <t>Summary by Category</t>
  </si>
  <si>
    <t>Job Count</t>
  </si>
  <si>
    <t>Avg Annual Salary</t>
  </si>
  <si>
    <t>Min Annual Salary</t>
  </si>
  <si>
    <t>Max Annual Salary</t>
  </si>
  <si>
    <t>Total Reported Count</t>
  </si>
  <si>
    <t>Summary by Company</t>
  </si>
  <si>
    <t>What-If Analysis</t>
  </si>
  <si>
    <t>Raise-percentage sensitivity table, Goal Seek setup, and Scenario Manager setup.</t>
  </si>
  <si>
    <t>1. Sensitivity table — raise % vs. new annual salary</t>
  </si>
  <si>
    <t>Selected job (Company|JobTitle key):</t>
  </si>
  <si>
    <t>7-Eleven|Assistant Manager</t>
  </si>
  <si>
    <t>Base Annual Salary:</t>
  </si>
  <si>
    <t>Raise %</t>
  </si>
  <si>
    <t>New Annual Salary</t>
  </si>
  <si>
    <t>2. Goal Seek — what raise % hits a target salary?</t>
  </si>
  <si>
    <t>Current Annual Salary:</t>
  </si>
  <si>
    <t>Target Annual Salary:</t>
  </si>
  <si>
    <t>Required Raise % (Goal Seek solves this):</t>
  </si>
  <si>
    <t>New Annual Salary (Set cell for Goal Seek):</t>
  </si>
  <si>
    <t>3. Scenario Manager — Conservative / Moderate / Aggressive raises</t>
  </si>
  <si>
    <t>Scenario</t>
  </si>
  <si>
    <t>Conservative</t>
  </si>
  <si>
    <t>Moderate</t>
  </si>
  <si>
    <t>Aggressive</t>
  </si>
  <si>
    <t>Salary Dashboard</t>
  </si>
  <si>
    <t>KPI cards, a company selector, and summary charts. The VBA macro RefreshDashboard() rebuilds this sheet.</t>
  </si>
  <si>
    <t>Total Records</t>
  </si>
  <si>
    <t>Companies</t>
  </si>
  <si>
    <t>Categories</t>
  </si>
  <si>
    <t>Company Selector</t>
  </si>
  <si>
    <t>Job Titles at this Company:</t>
  </si>
  <si>
    <t>Avg Annual Salary here:</t>
  </si>
  <si>
    <t>VBA Macros — Source Code &amp; Setup</t>
  </si>
  <si>
    <t>Copy each Sub into its own Module in the VBA editor (Alt+F11). See setup steps at the bottom.</t>
  </si>
  <si>
    <t>Macro 1 — CleanAndConvertSalaries (data cleaning)</t>
  </si>
  <si>
    <t>Sub CleanAndConvertSalaries()</t>
  </si>
  <si>
    <t xml:space="preserve">    ' Reads Raw_Data, converts every salary to an annual figure,</t>
  </si>
  <si>
    <t xml:space="preserve">    ' and (re)writes the Cleaned_Data sheet from scratch.</t>
  </si>
  <si>
    <t xml:space="preserve">    Dim wsRaw As Worksheet, wsClean As Worksheet</t>
  </si>
  <si>
    <t xml:space="preserve">    Dim lastRow As Long, i As Long, outRow As Long</t>
  </si>
  <si>
    <t xml:space="preserve">    Dim period As String, salary As Double, mult As Double</t>
  </si>
  <si>
    <t xml:space="preserve">    Set wsRaw = ThisWorkbook.Sheets("Raw_Data")</t>
  </si>
  <si>
    <t xml:space="preserve">    Set wsClean = ThisWorkbook.Sheets("Cleaned_Data")</t>
  </si>
  <si>
    <t xml:space="preserve">    lastRow = wsRaw.Cells(wsRaw.Rows.Count, "A").End(xlUp).Row</t>
  </si>
  <si>
    <t xml:space="preserve">    ' Clear old data below the header row</t>
  </si>
  <si>
    <t xml:space="preserve">    wsClean.Range("A2:H" &amp; wsClean.Rows.Count).ClearContents</t>
  </si>
  <si>
    <t xml:space="preserve">    wsClean.Range("A1:H1").Value = Array("Company", "Category", "JobTitle", _</t>
  </si>
  <si>
    <t xml:space="preserve">        "MedianSalary", "SalaryPeriod", "ReportedCount", "AnnualSalary", "Key")</t>
  </si>
  <si>
    <t xml:space="preserve">    outRow = 2</t>
  </si>
  <si>
    <t xml:space="preserve">    For i = 2 To lastRow</t>
  </si>
  <si>
    <t xml:space="preserve">        salary = wsRaw.Cells(i, "F").Value</t>
  </si>
  <si>
    <t xml:space="preserve">        period = UCase(Trim(wsRaw.Cells(i, "H").Value))</t>
  </si>
  <si>
    <t xml:space="preserve">        Select Case period</t>
  </si>
  <si>
    <t xml:space="preserve">            Case "HOURLY":  mult = 2080</t>
  </si>
  <si>
    <t xml:space="preserve">            Case "WEEKLY":  mult = 52</t>
  </si>
  <si>
    <t xml:space="preserve">            Case "MONTHLY": mult = 12</t>
  </si>
  <si>
    <t xml:space="preserve">            Case "YEARLY":  mult = 1</t>
  </si>
  <si>
    <t xml:space="preserve">            Case Else:      mult = 0   ' unrecognized period - flagged as 0</t>
  </si>
  <si>
    <t xml:space="preserve">        End Select</t>
  </si>
  <si>
    <t xml:space="preserve">        With wsClean</t>
  </si>
  <si>
    <t xml:space="preserve">            .Cells(outRow, 1).Value = wsRaw.Cells(i, "A").Value          ' Company</t>
  </si>
  <si>
    <t xml:space="preserve">            .Cells(outRow, 2).Value = wsRaw.Cells(i, "C").Value          ' Category</t>
  </si>
  <si>
    <t xml:space="preserve">            .Cells(outRow, 3).Value = wsRaw.Cells(i, "D").Value          ' JobTitle</t>
  </si>
  <si>
    <t xml:space="preserve">            .Cells(outRow, 4).Value = salary                             ' MedianSalary</t>
  </si>
  <si>
    <t xml:space="preserve">            .Cells(outRow, 5).Value = period                             ' SalaryPeriod</t>
  </si>
  <si>
    <t xml:space="preserve">            .Cells(outRow, 6).Value = wsRaw.Cells(i, "I").Value          ' ReportedCount</t>
  </si>
  <si>
    <t xml:space="preserve">            .Cells(outRow, 7).Value = salary * mult                      ' AnnualSalary</t>
  </si>
  <si>
    <t xml:space="preserve">            .Cells(outRow, 7).NumberFormat = "$#,##0"</t>
  </si>
  <si>
    <t xml:space="preserve">            .Cells(outRow, 8).Value = .Cells(outRow, 1).Value &amp; "|" &amp; .Cells(outRow, 3).Value</t>
  </si>
  <si>
    <t xml:space="preserve">        End With</t>
  </si>
  <si>
    <t xml:space="preserve">        outRow = outRow + 1</t>
  </si>
  <si>
    <t xml:space="preserve">    Next i</t>
  </si>
  <si>
    <t xml:space="preserve">    MsgBox outRow - 2 &amp; " rows cleaned and converted to annual salary.", vbInformation</t>
  </si>
  <si>
    <t>End Sub</t>
  </si>
  <si>
    <t>Macro 2 — GenerateSummaryReport (auto-generated report)</t>
  </si>
  <si>
    <t>Sub GenerateSummaryReport()</t>
  </si>
  <si>
    <t xml:space="preserve">    ' Builds (or refreshes) an "Auto_Summary" sheet: count, average,</t>
  </si>
  <si>
    <t xml:space="preserve">    ' min and max annual salary per Category, using a Dictionary</t>
  </si>
  <si>
    <t xml:space="preserve">    ' to aggregate in a single pass over Cleaned_Data.</t>
  </si>
  <si>
    <t xml:space="preserve">    Dim wsClean As Worksheet, wsSum As Worksheet</t>
  </si>
  <si>
    <t xml:space="preserve">    Dim dictCount As Object, dictSum As Object, dictMin As Object, dictMax As Object</t>
  </si>
  <si>
    <t xml:space="preserve">    Dim lastRow As Long, i As Long</t>
  </si>
  <si>
    <t xml:space="preserve">    Dim cat As String, sal As Double, k As Variant, r As Long</t>
  </si>
  <si>
    <t xml:space="preserve">    ' Recreate the Auto_Summary sheet each run</t>
  </si>
  <si>
    <t xml:space="preserve">    On Error Resume Next</t>
  </si>
  <si>
    <t xml:space="preserve">    Application.DisplayAlerts = False</t>
  </si>
  <si>
    <t xml:space="preserve">    ThisWorkbook.Sheets("Auto_Summary").Delete</t>
  </si>
  <si>
    <t xml:space="preserve">    Application.DisplayAlerts = True</t>
  </si>
  <si>
    <t xml:space="preserve">    On Error GoTo 0</t>
  </si>
  <si>
    <t xml:space="preserve">    Set wsSum = ThisWorkbook.Sheets.Add(After:=ThisWorkbook.Sheets(ThisWorkbook.Sheets.Count))</t>
  </si>
  <si>
    <t xml:space="preserve">    wsSum.Name = "Auto_Summary"</t>
  </si>
  <si>
    <t xml:space="preserve">    Set dictCount = CreateObject("Scripting.Dictionary")</t>
  </si>
  <si>
    <t xml:space="preserve">    Set dictSum = CreateObject("Scripting.Dictionary")</t>
  </si>
  <si>
    <t xml:space="preserve">    Set dictMin = CreateObject("Scripting.Dictionary")</t>
  </si>
  <si>
    <t xml:space="preserve">    Set dictMax = CreateObject("Scripting.Dictionary")</t>
  </si>
  <si>
    <t xml:space="preserve">    lastRow = wsClean.Cells(wsClean.Rows.Count, "A").End(xlUp).Row</t>
  </si>
  <si>
    <t xml:space="preserve">        cat = wsClean.Cells(i, "B").Value</t>
  </si>
  <si>
    <t xml:space="preserve">        sal = wsClean.Cells(i, "G").Value</t>
  </si>
  <si>
    <t xml:space="preserve">        If Not dictCount.Exists(cat) Then</t>
  </si>
  <si>
    <t xml:space="preserve">            dictCount(cat) = 0: dictSum(cat) = 0</t>
  </si>
  <si>
    <t xml:space="preserve">            dictMin(cat) = sal: dictMax(cat) = sal</t>
  </si>
  <si>
    <t xml:space="preserve">        End If</t>
  </si>
  <si>
    <t xml:space="preserve">        dictCount(cat) = dictCount(cat) + 1</t>
  </si>
  <si>
    <t xml:space="preserve">        dictSum(cat) = dictSum(cat) + sal</t>
  </si>
  <si>
    <t xml:space="preserve">        If sal &lt; dictMin(cat) Then dictMin(cat) = sal</t>
  </si>
  <si>
    <t xml:space="preserve">        If sal &gt; dictMax(cat) Then dictMax(cat) = sal</t>
  </si>
  <si>
    <t xml:space="preserve">    wsSum.Range("A1:E1").Value = Array("Category", "Count", "Avg Annual Salary", "Min", "Max")</t>
  </si>
  <si>
    <t xml:space="preserve">    wsSum.Range("A1:E1").Font.Bold = True</t>
  </si>
  <si>
    <t xml:space="preserve">    r = 2</t>
  </si>
  <si>
    <t xml:space="preserve">    For Each k In dictCount.Keys</t>
  </si>
  <si>
    <t xml:space="preserve">        wsSum.Cells(r, 1).Value = k</t>
  </si>
  <si>
    <t xml:space="preserve">        wsSum.Cells(r, 2).Value = dictCount(k)</t>
  </si>
  <si>
    <t xml:space="preserve">        wsSum.Cells(r, 3).Value = dictSum(k) / dictCount(k)</t>
  </si>
  <si>
    <t xml:space="preserve">        wsSum.Cells(r, 4).Value = dictMin(k)</t>
  </si>
  <si>
    <t xml:space="preserve">        wsSum.Cells(r, 5).Value = dictMax(k)</t>
  </si>
  <si>
    <t xml:space="preserve">        wsSum.Range(wsSum.Cells(r, 3), wsSum.Cells(r, 5)).NumberFormat = "$#,##0"</t>
  </si>
  <si>
    <t xml:space="preserve">        r = r + 1</t>
  </si>
  <si>
    <t xml:space="preserve">    Next k</t>
  </si>
  <si>
    <t xml:space="preserve">    wsSum.Columns("A:E").AutoFit</t>
  </si>
  <si>
    <t xml:space="preserve">    MsgBox "Auto_Summary rebuilt with " &amp; (r - 2) &amp; " categories.", vbInformation</t>
  </si>
  <si>
    <t>Macro 3 — RefreshDashboard + FilterDashboardByCompany (interactive dashboard)</t>
  </si>
  <si>
    <t>Sub RefreshDashboard()</t>
  </si>
  <si>
    <t xml:space="preserve">    ' Reruns the cleaning + summary macros, then forces every</t>
  </si>
  <si>
    <t xml:space="preserve">    ' formula and chart on the Dashboard sheet to recalculate.</t>
  </si>
  <si>
    <t xml:space="preserve">    Call CleanAndConvertSalaries</t>
  </si>
  <si>
    <t xml:space="preserve">    Call GenerateSummaryReport</t>
  </si>
  <si>
    <t xml:space="preserve">    ThisWorkbook.Sheets("Dashboard").Calculate</t>
  </si>
  <si>
    <t xml:space="preserve">    Application.CalculateFull</t>
  </si>
  <si>
    <t xml:space="preserve">    MsgBox "Dashboard refreshed.", vbInformation</t>
  </si>
  <si>
    <t>Sub FilterDashboardByCompany()</t>
  </si>
  <si>
    <t xml:space="preserve">    ' Prompts the user for a company name and writes it into the</t>
  </si>
  <si>
    <t xml:space="preserve">    ' Dashboard's Company Selector cell (C11), which every KPI</t>
  </si>
  <si>
    <t xml:space="preserve">    ' and lookup formula on that sheet already reacts to.</t>
  </si>
  <si>
    <t xml:space="preserve">    Dim wsDash As Worksheet</t>
  </si>
  <si>
    <t xml:space="preserve">    Dim chosen As String</t>
  </si>
  <si>
    <t xml:space="preserve">    Set wsDash = ThisWorkbook.Sheets("Dashboard")</t>
  </si>
  <si>
    <t xml:space="preserve">    chosen = InputBox("Type a company name exactly as it appears in Raw_Data:", _</t>
  </si>
  <si>
    <t xml:space="preserve">                       "Filter Dashboard", wsDash.Range("C11").Value)</t>
  </si>
  <si>
    <t xml:space="preserve">    If Trim(chosen) &lt;&gt; "" Then</t>
  </si>
  <si>
    <t xml:space="preserve">        wsDash.Range("C11").Value = chosen</t>
  </si>
  <si>
    <t xml:space="preserve">    End If</t>
  </si>
  <si>
    <t>Setup steps</t>
  </si>
  <si>
    <t>1. Open this workbook in Excel (Windows or Mac).</t>
  </si>
  <si>
    <t>2. File -&gt; Save As -&gt; choose 'Excel Macro-Enabled Workbook (*.xlsm)' and save.</t>
  </si>
  <si>
    <t>3. Press Alt+F11 to open the VBA editor.</t>
  </si>
  <si>
    <t>4. Right-click the workbook in the Project pane -&gt; Insert -&gt; Module (repeat for each of the 3 macros above, or paste all into one module).</t>
  </si>
  <si>
    <t>5. Paste the corresponding Sub...End Sub code into each module.</t>
  </si>
  <si>
    <t>6. Close the VBA editor. Press Alt+F8, select CleanAndConvertSalaries, click Run - Cleaned_Data will be rebuilt from Raw_Data.</t>
  </si>
  <si>
    <t>7. Run GenerateSummaryReport the same way to create the Auto_Summary sheet.</t>
  </si>
  <si>
    <t>8. To make this a one-click experience: go to Dashboard, Insert tab -&gt; Shapes -&gt; draw a button/rectangle, right-click it -&gt; Assign Macro -&gt; pick RefreshDashboard (repeat for FilterDashboardByCompany).</t>
  </si>
  <si>
    <t>9. Save the .xlsm. Every time you reopen it, click 'Enable Content' on the yellow security bar to allow the macros to run.</t>
  </si>
  <si>
    <t xml:space="preserve">Yellow cells are inputs </t>
  </si>
  <si>
    <t>Lookup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</si>
</sst>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color rgb="FF1F4E78"/>
      <name val="Arial"/>
      <family val="2"/>
    </font>
    <font>
      <b/>
      <sz val="10"/>
      <color rgb="FF1F4E78"/>
      <name val="Arial"/>
      <family val="2"/>
    </font>
    <font>
      <b/>
      <sz val="11"/>
      <color rgb="FFFFFFFF"/>
      <name val="Arial"/>
      <family val="2"/>
    </font>
    <font>
      <i/>
      <sz val="9"/>
      <color rgb="FF7F7F7F"/>
      <name val="Arial"/>
      <family val="2"/>
    </font>
    <font>
      <b/>
      <sz val="14"/>
      <color rgb="FF1F4E78"/>
      <name val="Arial"/>
      <family val="2"/>
    </font>
    <font>
      <sz val="1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8" fillId="0" borderId="1" xfId="0" applyFont="1" applyBorder="1"/>
    <xf numFmtId="0" fontId="7" fillId="2" borderId="0" xfId="0" applyFont="1" applyFill="1" applyAlignment="1">
      <alignment horizontal="center"/>
    </xf>
    <xf numFmtId="164" fontId="4" fillId="0" borderId="0" xfId="0" applyNumberFormat="1" applyFont="1"/>
    <xf numFmtId="0" fontId="4" fillId="3" borderId="1" xfId="0" applyFont="1" applyFill="1" applyBorder="1"/>
    <xf numFmtId="164" fontId="4" fillId="0" borderId="1" xfId="0" applyNumberFormat="1" applyFont="1" applyBorder="1"/>
    <xf numFmtId="0" fontId="0" fillId="3" borderId="0" xfId="0" applyFill="1"/>
    <xf numFmtId="164" fontId="0" fillId="0" borderId="0" xfId="0" applyNumberFormat="1"/>
    <xf numFmtId="9" fontId="4" fillId="0" borderId="1" xfId="0" applyNumberFormat="1" applyFont="1" applyBorder="1"/>
    <xf numFmtId="10" fontId="4" fillId="3" borderId="1" xfId="0" applyNumberFormat="1" applyFont="1" applyFill="1" applyBorder="1"/>
    <xf numFmtId="0" fontId="3" fillId="4" borderId="1" xfId="0" applyFont="1" applyFill="1" applyBorder="1"/>
    <xf numFmtId="1" fontId="9" fillId="4" borderId="1" xfId="0" applyNumberFormat="1" applyFont="1" applyFill="1" applyBorder="1"/>
    <xf numFmtId="164" fontId="9" fillId="4" borderId="1" xfId="0" applyNumberFormat="1" applyFont="1" applyFill="1" applyBorder="1"/>
    <xf numFmtId="0" fontId="7" fillId="2" borderId="0" xfId="0" applyFont="1" applyFill="1"/>
    <xf numFmtId="0" fontId="10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12 Categories by Average Annual Salary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Dashboard!$C$16</c:f>
              <c:strCache>
                <c:ptCount val="1"/>
                <c:pt idx="0">
                  <c:v>Avg Annual Salary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Dashboard!$B$17:$B$28</c:f>
              <c:strCache>
                <c:ptCount val="12"/>
                <c:pt idx="0">
                  <c:v>Arts &amp; Entertainment</c:v>
                </c:pt>
                <c:pt idx="1">
                  <c:v>IT Operations &amp; Helpdesk</c:v>
                </c:pt>
                <c:pt idx="2">
                  <c:v>Project Management</c:v>
                </c:pt>
                <c:pt idx="3">
                  <c:v>Software Development</c:v>
                </c:pt>
                <c:pt idx="4">
                  <c:v>Marketing</c:v>
                </c:pt>
                <c:pt idx="5">
                  <c:v>Management</c:v>
                </c:pt>
                <c:pt idx="6">
                  <c:v>Information Design &amp; Documentation</c:v>
                </c:pt>
                <c:pt idx="7">
                  <c:v>Mathematics</c:v>
                </c:pt>
                <c:pt idx="8">
                  <c:v>Medical Technician</c:v>
                </c:pt>
                <c:pt idx="9">
                  <c:v>Sales</c:v>
                </c:pt>
                <c:pt idx="10">
                  <c:v>Banking &amp; Finance</c:v>
                </c:pt>
                <c:pt idx="11">
                  <c:v>Administrative Assistance</c:v>
                </c:pt>
              </c:strCache>
            </c:strRef>
          </c:cat>
          <c:val>
            <c:numRef>
              <c:f>Dashboard!$C$17:$C$28</c:f>
              <c:numCache>
                <c:formatCode>\$#,##0</c:formatCode>
                <c:ptCount val="12"/>
                <c:pt idx="0">
                  <c:v>163041</c:v>
                </c:pt>
                <c:pt idx="1">
                  <c:v>159714.70000000001</c:v>
                </c:pt>
                <c:pt idx="2">
                  <c:v>154863.33333333334</c:v>
                </c:pt>
                <c:pt idx="3">
                  <c:v>129481.72394366197</c:v>
                </c:pt>
                <c:pt idx="4">
                  <c:v>118235.28571428571</c:v>
                </c:pt>
                <c:pt idx="5">
                  <c:v>114841.13899999998</c:v>
                </c:pt>
                <c:pt idx="6">
                  <c:v>114279.57142857143</c:v>
                </c:pt>
                <c:pt idx="7">
                  <c:v>110308.44230769231</c:v>
                </c:pt>
                <c:pt idx="8">
                  <c:v>98360.079999999987</c:v>
                </c:pt>
                <c:pt idx="9">
                  <c:v>97496.627906976748</c:v>
                </c:pt>
                <c:pt idx="10">
                  <c:v>97344.58</c:v>
                </c:pt>
                <c:pt idx="11">
                  <c:v>91487.712500000009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D-4B27-992D-01FF2F861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991919"/>
        <c:axId val="80684206"/>
      </c:barChart>
      <c:catAx>
        <c:axId val="7999191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Annual Salary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84206"/>
        <c:crosses val="autoZero"/>
        <c:auto val="1"/>
        <c:lblAlgn val="ctr"/>
        <c:lblOffset val="100"/>
        <c:noMultiLvlLbl val="0"/>
      </c:catAx>
      <c:valAx>
        <c:axId val="806842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9919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12 Companies by Average Annual Salary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Dashboard!$C$31</c:f>
              <c:strCache>
                <c:ptCount val="1"/>
                <c:pt idx="0">
                  <c:v>Avg Annual Salary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Dashboard!$B$32:$B$43</c:f>
              <c:strCache>
                <c:ptCount val="12"/>
                <c:pt idx="0">
                  <c:v>Adobe</c:v>
                </c:pt>
                <c:pt idx="1">
                  <c:v>Airbnb</c:v>
                </c:pt>
                <c:pt idx="2">
                  <c:v>Salesforce</c:v>
                </c:pt>
                <c:pt idx="3">
                  <c:v>PayPal</c:v>
                </c:pt>
                <c:pt idx="4">
                  <c:v>Intel Corporation</c:v>
                </c:pt>
                <c:pt idx="5">
                  <c:v>Tesla</c:v>
                </c:pt>
                <c:pt idx="6">
                  <c:v>Dell Technologies</c:v>
                </c:pt>
                <c:pt idx="7">
                  <c:v>EY</c:v>
                </c:pt>
                <c:pt idx="8">
                  <c:v>Pfizer</c:v>
                </c:pt>
                <c:pt idx="9">
                  <c:v>Lyft Drivers</c:v>
                </c:pt>
                <c:pt idx="10">
                  <c:v>Meta</c:v>
                </c:pt>
                <c:pt idx="11">
                  <c:v>Ford Motor Company</c:v>
                </c:pt>
              </c:strCache>
            </c:strRef>
          </c:cat>
          <c:val>
            <c:numRef>
              <c:f>Dashboard!$C$32:$C$43</c:f>
              <c:numCache>
                <c:formatCode>\$#,##0</c:formatCode>
                <c:ptCount val="12"/>
                <c:pt idx="0">
                  <c:v>213921.44</c:v>
                </c:pt>
                <c:pt idx="1">
                  <c:v>197383.7</c:v>
                </c:pt>
                <c:pt idx="2">
                  <c:v>195886.4</c:v>
                </c:pt>
                <c:pt idx="3">
                  <c:v>162608.6</c:v>
                </c:pt>
                <c:pt idx="4">
                  <c:v>156559.79999999999</c:v>
                </c:pt>
                <c:pt idx="5">
                  <c:v>151997.06</c:v>
                </c:pt>
                <c:pt idx="6">
                  <c:v>148389.70000000001</c:v>
                </c:pt>
                <c:pt idx="7">
                  <c:v>145721.29999999999</c:v>
                </c:pt>
                <c:pt idx="8">
                  <c:v>141828.20000000001</c:v>
                </c:pt>
                <c:pt idx="9">
                  <c:v>134491.48000000001</c:v>
                </c:pt>
                <c:pt idx="10">
                  <c:v>134460.34</c:v>
                </c:pt>
                <c:pt idx="11">
                  <c:v>133518.6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9-4375-8E74-0C97B6AA6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044180"/>
        <c:axId val="86996540"/>
      </c:barChart>
      <c:catAx>
        <c:axId val="7504418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Annual Salary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96540"/>
        <c:crosses val="autoZero"/>
        <c:auto val="1"/>
        <c:lblAlgn val="ctr"/>
        <c:lblOffset val="100"/>
        <c:noMultiLvlLbl val="0"/>
      </c:catAx>
      <c:valAx>
        <c:axId val="869965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0441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86400</xdr:rowOff>
    </xdr:from>
    <xdr:to>
      <xdr:col>12</xdr:col>
      <xdr:colOff>503610</xdr:colOff>
      <xdr:row>31</xdr:row>
      <xdr:rowOff>87840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32</xdr:row>
      <xdr:rowOff>86400</xdr:rowOff>
    </xdr:from>
    <xdr:to>
      <xdr:col>12</xdr:col>
      <xdr:colOff>503610</xdr:colOff>
      <xdr:row>49</xdr:row>
      <xdr:rowOff>87840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awDataTable" displayName="RawDataTable" ref="A1:K980" totalsRowShown="0">
  <autoFilter ref="A1:K980" xr:uid="{00000000-0009-0000-0100-000003000000}"/>
  <tableColumns count="11">
    <tableColumn id="1" xr3:uid="{00000000-0010-0000-0000-000001000000}" name="company"/>
    <tableColumn id="2" xr3:uid="{00000000-0010-0000-0000-000002000000}" name="companySlug"/>
    <tableColumn id="3" xr3:uid="{00000000-0010-0000-0000-000003000000}" name="category"/>
    <tableColumn id="4" xr3:uid="{00000000-0010-0000-0000-000004000000}" name="jobTitle"/>
    <tableColumn id="5" xr3:uid="{00000000-0010-0000-0000-000005000000}" name="normalizedJobTitle"/>
    <tableColumn id="6" xr3:uid="{00000000-0010-0000-0000-000006000000}" name="medianSalary"/>
    <tableColumn id="7" xr3:uid="{00000000-0010-0000-0000-000007000000}" name="medianSalaryText"/>
    <tableColumn id="8" xr3:uid="{00000000-0010-0000-0000-000008000000}" name="salaryPeriod"/>
    <tableColumn id="9" xr3:uid="{00000000-0010-0000-0000-000009000000}" name="reportedSalaryCount"/>
    <tableColumn id="10" xr3:uid="{00000000-0010-0000-0000-00000A000000}" name="url"/>
    <tableColumn id="11" xr3:uid="{00000000-0010-0000-0000-00000B000000}" name="matchedInpu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ultiplierTable" displayName="MultiplierTable" ref="B5:D9" totalsRowShown="0">
  <autoFilter ref="B5:D9" xr:uid="{00000000-0009-0000-0100-000002000000}"/>
  <tableColumns count="3">
    <tableColumn id="1" xr3:uid="{00000000-0010-0000-0100-000001000000}" name="Period"/>
    <tableColumn id="2" xr3:uid="{00000000-0010-0000-0100-000002000000}" name="Multiplier"/>
    <tableColumn id="3" xr3:uid="{00000000-0010-0000-0100-000003000000}" name="Basi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CleanedDataTable" displayName="CleanedDataTable" ref="A1:H980" totalsRowShown="0">
  <autoFilter ref="A1:H980" xr:uid="{00000000-0009-0000-0100-000001000000}"/>
  <tableColumns count="8">
    <tableColumn id="1" xr3:uid="{00000000-0010-0000-0200-000001000000}" name="Company"/>
    <tableColumn id="2" xr3:uid="{00000000-0010-0000-0200-000002000000}" name="Category"/>
    <tableColumn id="3" xr3:uid="{00000000-0010-0000-0200-000003000000}" name="JobTitle"/>
    <tableColumn id="4" xr3:uid="{00000000-0010-0000-0200-000004000000}" name="MedianSalary"/>
    <tableColumn id="5" xr3:uid="{00000000-0010-0000-0200-000005000000}" name="SalaryPeriod"/>
    <tableColumn id="6" xr3:uid="{00000000-0010-0000-0200-000006000000}" name="ReportedCount"/>
    <tableColumn id="7" xr3:uid="{00000000-0010-0000-0200-000007000000}" name="AnnualSalary"/>
    <tableColumn id="8" xr3:uid="{00000000-0010-0000-0200-000008000000}" name="Ke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F20"/>
  <sheetViews>
    <sheetView showGridLines="0" topLeftCell="A14" zoomScaleNormal="100" workbookViewId="0"/>
  </sheetViews>
  <sheetFormatPr defaultColWidth="8.6328125" defaultRowHeight="14.5" x14ac:dyDescent="0.35"/>
  <cols>
    <col min="1" max="1" width="2" customWidth="1"/>
    <col min="2" max="2" width="22" customWidth="1"/>
    <col min="3" max="3" width="90" customWidth="1"/>
  </cols>
  <sheetData>
    <row r="2" spans="2:3" ht="20" x14ac:dyDescent="0.4">
      <c r="B2" s="4" t="s">
        <v>0</v>
      </c>
    </row>
    <row r="3" spans="2:3" x14ac:dyDescent="0.35">
      <c r="B3" s="5" t="s">
        <v>1</v>
      </c>
    </row>
    <row r="5" spans="2:3" ht="30" customHeight="1" x14ac:dyDescent="0.35">
      <c r="B5" s="6" t="s">
        <v>2</v>
      </c>
      <c r="C5" s="3" t="s">
        <v>3</v>
      </c>
    </row>
    <row r="6" spans="2:3" ht="30" customHeight="1" x14ac:dyDescent="0.35">
      <c r="B6" s="6" t="s">
        <v>4</v>
      </c>
      <c r="C6" s="3" t="s">
        <v>5</v>
      </c>
    </row>
    <row r="7" spans="2:3" ht="30" customHeight="1" x14ac:dyDescent="0.35">
      <c r="B7" s="6" t="s">
        <v>6</v>
      </c>
      <c r="C7" s="3" t="s">
        <v>7</v>
      </c>
    </row>
    <row r="9" spans="2:3" ht="16.5" x14ac:dyDescent="0.35">
      <c r="B9" s="7" t="s">
        <v>8</v>
      </c>
    </row>
    <row r="10" spans="2:3" ht="27.75" customHeight="1" x14ac:dyDescent="0.35">
      <c r="B10" s="8" t="s">
        <v>9</v>
      </c>
      <c r="C10" s="3" t="s">
        <v>10</v>
      </c>
    </row>
    <row r="11" spans="2:3" ht="27.75" customHeight="1" x14ac:dyDescent="0.35">
      <c r="B11" s="8" t="s">
        <v>11</v>
      </c>
      <c r="C11" s="3" t="s">
        <v>12</v>
      </c>
    </row>
    <row r="12" spans="2:3" ht="27.75" customHeight="1" x14ac:dyDescent="0.35">
      <c r="B12" s="8" t="s">
        <v>13</v>
      </c>
      <c r="C12" s="3" t="s">
        <v>14</v>
      </c>
    </row>
    <row r="13" spans="2:3" ht="27.75" customHeight="1" x14ac:dyDescent="0.35">
      <c r="B13" s="8" t="s">
        <v>15</v>
      </c>
      <c r="C13" s="3" t="s">
        <v>16</v>
      </c>
    </row>
    <row r="14" spans="2:3" ht="27.75" customHeight="1" x14ac:dyDescent="0.35">
      <c r="B14" s="8" t="s">
        <v>17</v>
      </c>
      <c r="C14" s="3" t="s">
        <v>18</v>
      </c>
    </row>
    <row r="15" spans="2:3" ht="27.75" customHeight="1" x14ac:dyDescent="0.35">
      <c r="B15" s="8" t="s">
        <v>19</v>
      </c>
      <c r="C15" s="3" t="s">
        <v>20</v>
      </c>
    </row>
    <row r="16" spans="2:3" ht="27.75" customHeight="1" x14ac:dyDescent="0.35">
      <c r="B16" s="8" t="s">
        <v>21</v>
      </c>
      <c r="C16" s="3" t="s">
        <v>22</v>
      </c>
    </row>
    <row r="17" spans="2:6" ht="27.75" customHeight="1" x14ac:dyDescent="0.35">
      <c r="B17" s="8" t="s">
        <v>23</v>
      </c>
      <c r="C17" s="3" t="s">
        <v>24</v>
      </c>
    </row>
    <row r="19" spans="2:6" ht="16.5" x14ac:dyDescent="0.35">
      <c r="B19" s="7" t="s">
        <v>25</v>
      </c>
    </row>
    <row r="20" spans="2:6" ht="75" customHeight="1" x14ac:dyDescent="0.35">
      <c r="B20" s="25" t="s">
        <v>26</v>
      </c>
      <c r="C20" s="25"/>
      <c r="D20" s="25"/>
      <c r="E20" s="25"/>
      <c r="F20" s="25"/>
    </row>
  </sheetData>
  <mergeCells count="1"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98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6" customWidth="1"/>
    <col min="3" max="3" width="24" customWidth="1"/>
    <col min="4" max="5" width="30" customWidth="1"/>
    <col min="6" max="6" width="13" customWidth="1"/>
    <col min="7" max="7" width="15" customWidth="1"/>
    <col min="8" max="8" width="12" customWidth="1"/>
    <col min="9" max="9" width="18" customWidth="1"/>
    <col min="10" max="10" width="40" customWidth="1"/>
    <col min="11" max="11" width="14" customWidth="1"/>
  </cols>
  <sheetData>
    <row r="1" spans="1:11" ht="28" x14ac:dyDescent="0.3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</row>
    <row r="2" spans="1:11" x14ac:dyDescent="0.35">
      <c r="A2" t="s">
        <v>38</v>
      </c>
      <c r="B2" t="s">
        <v>38</v>
      </c>
      <c r="C2" t="s">
        <v>39</v>
      </c>
      <c r="D2" t="s">
        <v>40</v>
      </c>
      <c r="E2" t="s">
        <v>41</v>
      </c>
      <c r="F2">
        <v>18.71</v>
      </c>
      <c r="G2" t="s">
        <v>42</v>
      </c>
      <c r="H2" t="s">
        <v>43</v>
      </c>
      <c r="I2">
        <v>869</v>
      </c>
      <c r="J2" t="s">
        <v>44</v>
      </c>
      <c r="K2" t="s">
        <v>38</v>
      </c>
    </row>
    <row r="3" spans="1:11" x14ac:dyDescent="0.35">
      <c r="A3" t="s">
        <v>38</v>
      </c>
      <c r="B3" t="s">
        <v>38</v>
      </c>
      <c r="C3" t="s">
        <v>39</v>
      </c>
      <c r="D3" t="s">
        <v>45</v>
      </c>
      <c r="E3" t="s">
        <v>46</v>
      </c>
      <c r="F3">
        <v>20.28</v>
      </c>
      <c r="G3" t="s">
        <v>47</v>
      </c>
      <c r="H3" t="s">
        <v>43</v>
      </c>
      <c r="I3">
        <v>612</v>
      </c>
      <c r="J3" t="s">
        <v>48</v>
      </c>
      <c r="K3" t="s">
        <v>38</v>
      </c>
    </row>
    <row r="4" spans="1:11" x14ac:dyDescent="0.35">
      <c r="A4" t="s">
        <v>38</v>
      </c>
      <c r="B4" t="s">
        <v>38</v>
      </c>
      <c r="C4" t="s">
        <v>39</v>
      </c>
      <c r="D4" t="s">
        <v>49</v>
      </c>
      <c r="E4" t="s">
        <v>50</v>
      </c>
      <c r="F4">
        <v>49.16</v>
      </c>
      <c r="G4" t="s">
        <v>51</v>
      </c>
      <c r="H4" t="s">
        <v>43</v>
      </c>
      <c r="I4">
        <v>8</v>
      </c>
      <c r="J4" t="s">
        <v>52</v>
      </c>
      <c r="K4" t="s">
        <v>38</v>
      </c>
    </row>
    <row r="5" spans="1:11" x14ac:dyDescent="0.35">
      <c r="A5" t="s">
        <v>38</v>
      </c>
      <c r="B5" t="s">
        <v>38</v>
      </c>
      <c r="C5" t="s">
        <v>39</v>
      </c>
      <c r="D5" t="s">
        <v>53</v>
      </c>
      <c r="E5" t="s">
        <v>54</v>
      </c>
      <c r="F5">
        <v>64.3</v>
      </c>
      <c r="G5" t="s">
        <v>55</v>
      </c>
      <c r="H5" t="s">
        <v>43</v>
      </c>
      <c r="I5">
        <v>18</v>
      </c>
      <c r="J5" t="s">
        <v>56</v>
      </c>
      <c r="K5" t="s">
        <v>38</v>
      </c>
    </row>
    <row r="6" spans="1:11" x14ac:dyDescent="0.35">
      <c r="A6" t="s">
        <v>38</v>
      </c>
      <c r="B6" t="s">
        <v>38</v>
      </c>
      <c r="C6" t="s">
        <v>39</v>
      </c>
      <c r="D6" t="s">
        <v>57</v>
      </c>
      <c r="E6" t="s">
        <v>58</v>
      </c>
      <c r="F6">
        <v>49.06</v>
      </c>
      <c r="G6" t="s">
        <v>59</v>
      </c>
      <c r="H6" t="s">
        <v>43</v>
      </c>
      <c r="I6">
        <v>3</v>
      </c>
      <c r="K6" t="s">
        <v>38</v>
      </c>
    </row>
    <row r="7" spans="1:11" x14ac:dyDescent="0.35">
      <c r="A7" t="s">
        <v>38</v>
      </c>
      <c r="B7" t="s">
        <v>38</v>
      </c>
      <c r="C7" t="s">
        <v>39</v>
      </c>
      <c r="D7" t="s">
        <v>60</v>
      </c>
      <c r="E7" t="s">
        <v>61</v>
      </c>
      <c r="F7">
        <v>16.12</v>
      </c>
      <c r="G7" t="s">
        <v>62</v>
      </c>
      <c r="H7" t="s">
        <v>43</v>
      </c>
      <c r="I7">
        <v>40</v>
      </c>
      <c r="J7" t="s">
        <v>63</v>
      </c>
      <c r="K7" t="s">
        <v>38</v>
      </c>
    </row>
    <row r="8" spans="1:11" x14ac:dyDescent="0.35">
      <c r="A8" t="s">
        <v>38</v>
      </c>
      <c r="B8" t="s">
        <v>38</v>
      </c>
      <c r="C8" t="s">
        <v>39</v>
      </c>
      <c r="D8" t="s">
        <v>64</v>
      </c>
      <c r="E8" t="s">
        <v>65</v>
      </c>
      <c r="F8">
        <v>23.75</v>
      </c>
      <c r="G8" t="s">
        <v>66</v>
      </c>
      <c r="H8" t="s">
        <v>43</v>
      </c>
      <c r="I8">
        <v>23</v>
      </c>
      <c r="J8" t="s">
        <v>67</v>
      </c>
      <c r="K8" t="s">
        <v>38</v>
      </c>
    </row>
    <row r="9" spans="1:11" x14ac:dyDescent="0.35">
      <c r="A9" t="s">
        <v>38</v>
      </c>
      <c r="B9" t="s">
        <v>38</v>
      </c>
      <c r="C9" t="s">
        <v>39</v>
      </c>
      <c r="D9" t="s">
        <v>68</v>
      </c>
      <c r="E9" t="s">
        <v>69</v>
      </c>
      <c r="F9">
        <v>59.53</v>
      </c>
      <c r="G9" t="s">
        <v>70</v>
      </c>
      <c r="H9" t="s">
        <v>43</v>
      </c>
      <c r="I9">
        <v>8</v>
      </c>
      <c r="J9" t="s">
        <v>71</v>
      </c>
      <c r="K9" t="s">
        <v>38</v>
      </c>
    </row>
    <row r="10" spans="1:11" x14ac:dyDescent="0.35">
      <c r="A10" t="s">
        <v>38</v>
      </c>
      <c r="B10" t="s">
        <v>38</v>
      </c>
      <c r="C10" t="s">
        <v>39</v>
      </c>
      <c r="D10" t="s">
        <v>72</v>
      </c>
      <c r="E10" t="s">
        <v>73</v>
      </c>
      <c r="F10">
        <v>17.79</v>
      </c>
      <c r="G10" t="s">
        <v>74</v>
      </c>
      <c r="H10" t="s">
        <v>43</v>
      </c>
      <c r="I10">
        <v>5</v>
      </c>
      <c r="K10" t="s">
        <v>38</v>
      </c>
    </row>
    <row r="11" spans="1:11" x14ac:dyDescent="0.35">
      <c r="A11" t="s">
        <v>38</v>
      </c>
      <c r="B11" t="s">
        <v>38</v>
      </c>
      <c r="C11" t="s">
        <v>39</v>
      </c>
      <c r="D11" t="s">
        <v>75</v>
      </c>
      <c r="E11" t="s">
        <v>76</v>
      </c>
      <c r="F11">
        <v>17.32</v>
      </c>
      <c r="G11" t="s">
        <v>77</v>
      </c>
      <c r="H11" t="s">
        <v>43</v>
      </c>
      <c r="I11">
        <v>1</v>
      </c>
      <c r="K11" t="s">
        <v>38</v>
      </c>
    </row>
    <row r="12" spans="1:11" x14ac:dyDescent="0.3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>
        <v>18.489999999999998</v>
      </c>
      <c r="G12" t="s">
        <v>83</v>
      </c>
      <c r="H12" t="s">
        <v>43</v>
      </c>
      <c r="I12">
        <v>68</v>
      </c>
      <c r="J12" t="s">
        <v>84</v>
      </c>
      <c r="K12" t="s">
        <v>79</v>
      </c>
    </row>
    <row r="13" spans="1:11" x14ac:dyDescent="0.35">
      <c r="A13" t="s">
        <v>78</v>
      </c>
      <c r="B13" t="s">
        <v>79</v>
      </c>
      <c r="C13" t="s">
        <v>80</v>
      </c>
      <c r="D13" t="s">
        <v>85</v>
      </c>
      <c r="E13" t="s">
        <v>86</v>
      </c>
      <c r="F13">
        <v>19.28</v>
      </c>
      <c r="G13" t="s">
        <v>87</v>
      </c>
      <c r="H13" t="s">
        <v>43</v>
      </c>
      <c r="I13">
        <v>196</v>
      </c>
      <c r="J13" t="s">
        <v>88</v>
      </c>
      <c r="K13" t="s">
        <v>79</v>
      </c>
    </row>
    <row r="14" spans="1:11" x14ac:dyDescent="0.35">
      <c r="A14" t="s">
        <v>78</v>
      </c>
      <c r="B14" t="s">
        <v>79</v>
      </c>
      <c r="C14" t="s">
        <v>80</v>
      </c>
      <c r="D14" t="s">
        <v>89</v>
      </c>
      <c r="E14" t="s">
        <v>90</v>
      </c>
      <c r="F14">
        <v>19.21</v>
      </c>
      <c r="G14" t="s">
        <v>91</v>
      </c>
      <c r="H14" t="s">
        <v>43</v>
      </c>
      <c r="I14">
        <v>173</v>
      </c>
      <c r="J14" t="s">
        <v>92</v>
      </c>
      <c r="K14" t="s">
        <v>79</v>
      </c>
    </row>
    <row r="15" spans="1:11" x14ac:dyDescent="0.35">
      <c r="A15" t="s">
        <v>78</v>
      </c>
      <c r="B15" t="s">
        <v>79</v>
      </c>
      <c r="C15" t="s">
        <v>80</v>
      </c>
      <c r="D15" t="s">
        <v>93</v>
      </c>
      <c r="E15" t="s">
        <v>94</v>
      </c>
      <c r="F15">
        <v>19.190000000000001</v>
      </c>
      <c r="G15" t="s">
        <v>95</v>
      </c>
      <c r="H15" t="s">
        <v>43</v>
      </c>
      <c r="I15">
        <v>5</v>
      </c>
      <c r="K15" t="s">
        <v>79</v>
      </c>
    </row>
    <row r="16" spans="1:11" x14ac:dyDescent="0.35">
      <c r="A16" t="s">
        <v>78</v>
      </c>
      <c r="B16" t="s">
        <v>79</v>
      </c>
      <c r="C16" t="s">
        <v>80</v>
      </c>
      <c r="D16" t="s">
        <v>96</v>
      </c>
      <c r="E16" t="s">
        <v>97</v>
      </c>
      <c r="F16">
        <v>18.39</v>
      </c>
      <c r="G16" t="s">
        <v>98</v>
      </c>
      <c r="H16" t="s">
        <v>43</v>
      </c>
      <c r="I16">
        <v>14</v>
      </c>
      <c r="J16" t="s">
        <v>99</v>
      </c>
      <c r="K16" t="s">
        <v>79</v>
      </c>
    </row>
    <row r="17" spans="1:11" x14ac:dyDescent="0.35">
      <c r="A17" t="s">
        <v>78</v>
      </c>
      <c r="B17" t="s">
        <v>79</v>
      </c>
      <c r="C17" t="s">
        <v>80</v>
      </c>
      <c r="D17" t="s">
        <v>100</v>
      </c>
      <c r="E17" t="s">
        <v>101</v>
      </c>
      <c r="F17">
        <v>18.07</v>
      </c>
      <c r="G17" t="s">
        <v>102</v>
      </c>
      <c r="H17" t="s">
        <v>43</v>
      </c>
      <c r="I17">
        <v>25</v>
      </c>
      <c r="J17" t="s">
        <v>103</v>
      </c>
      <c r="K17" t="s">
        <v>79</v>
      </c>
    </row>
    <row r="18" spans="1:11" x14ac:dyDescent="0.35">
      <c r="A18" t="s">
        <v>78</v>
      </c>
      <c r="B18" t="s">
        <v>79</v>
      </c>
      <c r="C18" t="s">
        <v>80</v>
      </c>
      <c r="D18" t="s">
        <v>104</v>
      </c>
      <c r="E18" t="s">
        <v>105</v>
      </c>
      <c r="F18">
        <v>18.18</v>
      </c>
      <c r="G18" t="s">
        <v>106</v>
      </c>
      <c r="H18" t="s">
        <v>43</v>
      </c>
      <c r="I18">
        <v>9</v>
      </c>
      <c r="J18" t="s">
        <v>107</v>
      </c>
      <c r="K18" t="s">
        <v>79</v>
      </c>
    </row>
    <row r="19" spans="1:11" x14ac:dyDescent="0.35">
      <c r="A19" t="s">
        <v>78</v>
      </c>
      <c r="B19" t="s">
        <v>79</v>
      </c>
      <c r="C19" t="s">
        <v>80</v>
      </c>
      <c r="D19" t="s">
        <v>108</v>
      </c>
      <c r="E19" t="s">
        <v>109</v>
      </c>
      <c r="F19">
        <v>25.15</v>
      </c>
      <c r="G19" t="s">
        <v>110</v>
      </c>
      <c r="H19" t="s">
        <v>43</v>
      </c>
      <c r="I19">
        <v>4</v>
      </c>
      <c r="K19" t="s">
        <v>79</v>
      </c>
    </row>
    <row r="20" spans="1:11" x14ac:dyDescent="0.35">
      <c r="A20" t="s">
        <v>78</v>
      </c>
      <c r="B20" t="s">
        <v>79</v>
      </c>
      <c r="C20" t="s">
        <v>80</v>
      </c>
      <c r="D20" t="s">
        <v>111</v>
      </c>
      <c r="E20" t="s">
        <v>112</v>
      </c>
      <c r="F20">
        <v>17.72</v>
      </c>
      <c r="G20" t="s">
        <v>113</v>
      </c>
      <c r="H20" t="s">
        <v>43</v>
      </c>
      <c r="I20">
        <v>6</v>
      </c>
      <c r="J20" t="s">
        <v>114</v>
      </c>
      <c r="K20" t="s">
        <v>79</v>
      </c>
    </row>
    <row r="21" spans="1:11" x14ac:dyDescent="0.35">
      <c r="A21" t="s">
        <v>78</v>
      </c>
      <c r="B21" t="s">
        <v>79</v>
      </c>
      <c r="C21" t="s">
        <v>80</v>
      </c>
      <c r="D21" t="s">
        <v>115</v>
      </c>
      <c r="E21" t="s">
        <v>116</v>
      </c>
      <c r="F21">
        <v>17.100000000000001</v>
      </c>
      <c r="G21" t="s">
        <v>117</v>
      </c>
      <c r="H21" t="s">
        <v>43</v>
      </c>
      <c r="I21">
        <v>6</v>
      </c>
      <c r="J21" t="s">
        <v>118</v>
      </c>
      <c r="K21" t="s">
        <v>79</v>
      </c>
    </row>
    <row r="22" spans="1:11" x14ac:dyDescent="0.35">
      <c r="A22" t="s">
        <v>119</v>
      </c>
      <c r="B22" t="s">
        <v>119</v>
      </c>
      <c r="C22" t="s">
        <v>120</v>
      </c>
      <c r="D22" t="s">
        <v>121</v>
      </c>
      <c r="E22" t="s">
        <v>122</v>
      </c>
      <c r="F22">
        <v>16.23</v>
      </c>
      <c r="G22" t="s">
        <v>123</v>
      </c>
      <c r="H22" t="s">
        <v>43</v>
      </c>
      <c r="I22">
        <v>353</v>
      </c>
      <c r="J22" t="s">
        <v>124</v>
      </c>
      <c r="K22" t="s">
        <v>119</v>
      </c>
    </row>
    <row r="23" spans="1:11" x14ac:dyDescent="0.35">
      <c r="A23" t="s">
        <v>119</v>
      </c>
      <c r="B23" t="s">
        <v>119</v>
      </c>
      <c r="C23" t="s">
        <v>120</v>
      </c>
      <c r="D23" t="s">
        <v>125</v>
      </c>
      <c r="E23" t="s">
        <v>126</v>
      </c>
      <c r="F23">
        <v>21.35</v>
      </c>
      <c r="G23" t="s">
        <v>127</v>
      </c>
      <c r="H23" t="s">
        <v>43</v>
      </c>
      <c r="I23">
        <v>1</v>
      </c>
      <c r="K23" t="s">
        <v>119</v>
      </c>
    </row>
    <row r="24" spans="1:11" x14ac:dyDescent="0.35">
      <c r="A24" t="s">
        <v>119</v>
      </c>
      <c r="B24" t="s">
        <v>119</v>
      </c>
      <c r="C24" t="s">
        <v>120</v>
      </c>
      <c r="D24" t="s">
        <v>128</v>
      </c>
      <c r="E24" t="s">
        <v>129</v>
      </c>
      <c r="F24">
        <v>18.940000000000001</v>
      </c>
      <c r="G24" t="s">
        <v>130</v>
      </c>
      <c r="H24" t="s">
        <v>43</v>
      </c>
      <c r="I24">
        <v>18</v>
      </c>
      <c r="J24" t="s">
        <v>131</v>
      </c>
      <c r="K24" t="s">
        <v>119</v>
      </c>
    </row>
    <row r="25" spans="1:11" x14ac:dyDescent="0.35">
      <c r="A25" t="s">
        <v>119</v>
      </c>
      <c r="B25" t="s">
        <v>119</v>
      </c>
      <c r="C25" t="s">
        <v>120</v>
      </c>
      <c r="D25" t="s">
        <v>132</v>
      </c>
      <c r="E25" t="s">
        <v>133</v>
      </c>
      <c r="F25">
        <v>20.2</v>
      </c>
      <c r="G25" t="s">
        <v>134</v>
      </c>
      <c r="H25" t="s">
        <v>43</v>
      </c>
      <c r="I25">
        <v>113</v>
      </c>
      <c r="J25" t="s">
        <v>135</v>
      </c>
      <c r="K25" t="s">
        <v>119</v>
      </c>
    </row>
    <row r="26" spans="1:11" x14ac:dyDescent="0.35">
      <c r="A26" t="s">
        <v>119</v>
      </c>
      <c r="B26" t="s">
        <v>119</v>
      </c>
      <c r="C26" t="s">
        <v>120</v>
      </c>
      <c r="D26" t="s">
        <v>136</v>
      </c>
      <c r="E26" t="s">
        <v>137</v>
      </c>
      <c r="F26">
        <v>13.76</v>
      </c>
      <c r="G26" t="s">
        <v>138</v>
      </c>
      <c r="H26" t="s">
        <v>43</v>
      </c>
      <c r="I26">
        <v>19</v>
      </c>
      <c r="J26" t="s">
        <v>139</v>
      </c>
      <c r="K26" t="s">
        <v>119</v>
      </c>
    </row>
    <row r="27" spans="1:11" x14ac:dyDescent="0.35">
      <c r="A27" t="s">
        <v>119</v>
      </c>
      <c r="B27" t="s">
        <v>119</v>
      </c>
      <c r="C27" t="s">
        <v>120</v>
      </c>
      <c r="D27" t="s">
        <v>140</v>
      </c>
      <c r="E27" t="s">
        <v>141</v>
      </c>
      <c r="F27">
        <v>26.83</v>
      </c>
      <c r="G27" t="s">
        <v>142</v>
      </c>
      <c r="H27" t="s">
        <v>43</v>
      </c>
      <c r="I27">
        <v>19</v>
      </c>
      <c r="J27" t="s">
        <v>143</v>
      </c>
      <c r="K27" t="s">
        <v>119</v>
      </c>
    </row>
    <row r="28" spans="1:11" x14ac:dyDescent="0.35">
      <c r="A28" t="s">
        <v>119</v>
      </c>
      <c r="B28" t="s">
        <v>119</v>
      </c>
      <c r="C28" t="s">
        <v>120</v>
      </c>
      <c r="D28" t="s">
        <v>144</v>
      </c>
      <c r="E28" t="s">
        <v>145</v>
      </c>
      <c r="F28">
        <v>37.03</v>
      </c>
      <c r="G28" t="s">
        <v>146</v>
      </c>
      <c r="H28" t="s">
        <v>43</v>
      </c>
      <c r="I28">
        <v>5</v>
      </c>
      <c r="K28" t="s">
        <v>119</v>
      </c>
    </row>
    <row r="29" spans="1:11" x14ac:dyDescent="0.35">
      <c r="A29" t="s">
        <v>119</v>
      </c>
      <c r="B29" t="s">
        <v>119</v>
      </c>
      <c r="C29" t="s">
        <v>120</v>
      </c>
      <c r="D29" t="s">
        <v>147</v>
      </c>
      <c r="E29" t="s">
        <v>148</v>
      </c>
      <c r="F29">
        <v>20.09</v>
      </c>
      <c r="G29" t="s">
        <v>149</v>
      </c>
      <c r="H29" t="s">
        <v>43</v>
      </c>
      <c r="I29">
        <v>9</v>
      </c>
      <c r="J29" t="s">
        <v>150</v>
      </c>
      <c r="K29" t="s">
        <v>119</v>
      </c>
    </row>
    <row r="30" spans="1:11" x14ac:dyDescent="0.35">
      <c r="A30" t="s">
        <v>119</v>
      </c>
      <c r="B30" t="s">
        <v>119</v>
      </c>
      <c r="C30" t="s">
        <v>120</v>
      </c>
      <c r="D30" t="s">
        <v>151</v>
      </c>
      <c r="E30" t="s">
        <v>152</v>
      </c>
      <c r="F30">
        <v>26.86</v>
      </c>
      <c r="G30" t="s">
        <v>153</v>
      </c>
      <c r="H30" t="s">
        <v>43</v>
      </c>
      <c r="I30">
        <v>5</v>
      </c>
      <c r="K30" t="s">
        <v>119</v>
      </c>
    </row>
    <row r="31" spans="1:11" x14ac:dyDescent="0.35">
      <c r="A31" t="s">
        <v>119</v>
      </c>
      <c r="B31" t="s">
        <v>119</v>
      </c>
      <c r="C31" t="s">
        <v>120</v>
      </c>
      <c r="D31" t="s">
        <v>154</v>
      </c>
      <c r="E31" t="s">
        <v>155</v>
      </c>
      <c r="F31">
        <v>22</v>
      </c>
      <c r="G31" t="s">
        <v>156</v>
      </c>
      <c r="H31" t="s">
        <v>43</v>
      </c>
      <c r="I31">
        <v>5</v>
      </c>
      <c r="K31" t="s">
        <v>119</v>
      </c>
    </row>
    <row r="32" spans="1:11" x14ac:dyDescent="0.35">
      <c r="A32" t="s">
        <v>157</v>
      </c>
      <c r="B32" t="s">
        <v>157</v>
      </c>
      <c r="C32" t="s">
        <v>158</v>
      </c>
      <c r="D32" t="s">
        <v>159</v>
      </c>
      <c r="E32" t="s">
        <v>160</v>
      </c>
      <c r="F32">
        <v>16.16</v>
      </c>
      <c r="G32" t="s">
        <v>161</v>
      </c>
      <c r="H32" t="s">
        <v>43</v>
      </c>
      <c r="I32">
        <v>57</v>
      </c>
      <c r="J32" t="s">
        <v>162</v>
      </c>
      <c r="K32" t="s">
        <v>157</v>
      </c>
    </row>
    <row r="33" spans="1:11" x14ac:dyDescent="0.35">
      <c r="A33" t="s">
        <v>157</v>
      </c>
      <c r="B33" t="s">
        <v>157</v>
      </c>
      <c r="C33" t="s">
        <v>158</v>
      </c>
      <c r="D33" t="s">
        <v>163</v>
      </c>
      <c r="E33" t="s">
        <v>164</v>
      </c>
      <c r="F33">
        <v>29.19</v>
      </c>
      <c r="G33" t="s">
        <v>165</v>
      </c>
      <c r="H33" t="s">
        <v>43</v>
      </c>
      <c r="I33">
        <v>21</v>
      </c>
      <c r="J33" t="s">
        <v>166</v>
      </c>
      <c r="K33" t="s">
        <v>157</v>
      </c>
    </row>
    <row r="34" spans="1:11" x14ac:dyDescent="0.35">
      <c r="A34" t="s">
        <v>157</v>
      </c>
      <c r="B34" t="s">
        <v>157</v>
      </c>
      <c r="C34" t="s">
        <v>158</v>
      </c>
      <c r="D34" t="s">
        <v>167</v>
      </c>
      <c r="E34" t="s">
        <v>168</v>
      </c>
      <c r="F34">
        <v>10.8</v>
      </c>
      <c r="G34" t="s">
        <v>169</v>
      </c>
      <c r="H34" t="s">
        <v>43</v>
      </c>
      <c r="I34">
        <v>32</v>
      </c>
      <c r="J34" t="s">
        <v>170</v>
      </c>
      <c r="K34" t="s">
        <v>157</v>
      </c>
    </row>
    <row r="35" spans="1:11" x14ac:dyDescent="0.35">
      <c r="A35" t="s">
        <v>157</v>
      </c>
      <c r="B35" t="s">
        <v>157</v>
      </c>
      <c r="C35" t="s">
        <v>158</v>
      </c>
      <c r="D35" t="s">
        <v>171</v>
      </c>
      <c r="E35" t="s">
        <v>172</v>
      </c>
      <c r="F35">
        <v>28.26</v>
      </c>
      <c r="G35" t="s">
        <v>173</v>
      </c>
      <c r="H35" t="s">
        <v>43</v>
      </c>
      <c r="I35">
        <v>19</v>
      </c>
      <c r="J35" t="s">
        <v>174</v>
      </c>
      <c r="K35" t="s">
        <v>157</v>
      </c>
    </row>
    <row r="36" spans="1:11" x14ac:dyDescent="0.35">
      <c r="A36" t="s">
        <v>157</v>
      </c>
      <c r="B36" t="s">
        <v>157</v>
      </c>
      <c r="C36" t="s">
        <v>158</v>
      </c>
      <c r="D36" t="s">
        <v>175</v>
      </c>
      <c r="E36" t="s">
        <v>176</v>
      </c>
      <c r="F36">
        <v>16.29</v>
      </c>
      <c r="G36" t="s">
        <v>177</v>
      </c>
      <c r="H36" t="s">
        <v>43</v>
      </c>
      <c r="I36">
        <v>10</v>
      </c>
      <c r="J36" t="s">
        <v>178</v>
      </c>
      <c r="K36" t="s">
        <v>157</v>
      </c>
    </row>
    <row r="37" spans="1:11" x14ac:dyDescent="0.35">
      <c r="A37" t="s">
        <v>157</v>
      </c>
      <c r="B37" t="s">
        <v>157</v>
      </c>
      <c r="C37" t="s">
        <v>158</v>
      </c>
      <c r="D37" t="s">
        <v>179</v>
      </c>
      <c r="E37" t="s">
        <v>180</v>
      </c>
      <c r="F37">
        <v>14.76</v>
      </c>
      <c r="G37" t="s">
        <v>181</v>
      </c>
      <c r="H37" t="s">
        <v>43</v>
      </c>
      <c r="I37">
        <v>8</v>
      </c>
      <c r="J37" t="s">
        <v>182</v>
      </c>
      <c r="K37" t="s">
        <v>157</v>
      </c>
    </row>
    <row r="38" spans="1:11" x14ac:dyDescent="0.35">
      <c r="A38" t="s">
        <v>157</v>
      </c>
      <c r="B38" t="s">
        <v>157</v>
      </c>
      <c r="C38" t="s">
        <v>158</v>
      </c>
      <c r="D38" t="s">
        <v>183</v>
      </c>
      <c r="E38" t="s">
        <v>184</v>
      </c>
      <c r="F38">
        <v>16.87</v>
      </c>
      <c r="G38" t="s">
        <v>185</v>
      </c>
      <c r="H38" t="s">
        <v>43</v>
      </c>
      <c r="I38">
        <v>7</v>
      </c>
      <c r="J38" t="s">
        <v>186</v>
      </c>
      <c r="K38" t="s">
        <v>157</v>
      </c>
    </row>
    <row r="39" spans="1:11" x14ac:dyDescent="0.35">
      <c r="A39" t="s">
        <v>157</v>
      </c>
      <c r="B39" t="s">
        <v>157</v>
      </c>
      <c r="C39" t="s">
        <v>158</v>
      </c>
      <c r="D39" t="s">
        <v>187</v>
      </c>
      <c r="E39" t="s">
        <v>188</v>
      </c>
      <c r="F39">
        <v>17.2</v>
      </c>
      <c r="G39" t="s">
        <v>189</v>
      </c>
      <c r="H39" t="s">
        <v>43</v>
      </c>
      <c r="I39">
        <v>4</v>
      </c>
      <c r="K39" t="s">
        <v>157</v>
      </c>
    </row>
    <row r="40" spans="1:11" x14ac:dyDescent="0.35">
      <c r="A40" t="s">
        <v>157</v>
      </c>
      <c r="B40" t="s">
        <v>157</v>
      </c>
      <c r="C40" t="s">
        <v>158</v>
      </c>
      <c r="D40" t="s">
        <v>190</v>
      </c>
      <c r="E40" t="s">
        <v>191</v>
      </c>
      <c r="F40">
        <v>23.05</v>
      </c>
      <c r="G40" t="s">
        <v>192</v>
      </c>
      <c r="H40" t="s">
        <v>43</v>
      </c>
      <c r="I40">
        <v>2</v>
      </c>
      <c r="K40" t="s">
        <v>157</v>
      </c>
    </row>
    <row r="41" spans="1:11" x14ac:dyDescent="0.35">
      <c r="A41" t="s">
        <v>157</v>
      </c>
      <c r="B41" t="s">
        <v>157</v>
      </c>
      <c r="C41" t="s">
        <v>158</v>
      </c>
      <c r="D41" t="s">
        <v>193</v>
      </c>
      <c r="E41" t="s">
        <v>194</v>
      </c>
      <c r="F41">
        <v>98502</v>
      </c>
      <c r="G41" t="s">
        <v>195</v>
      </c>
      <c r="H41" t="s">
        <v>196</v>
      </c>
      <c r="I41">
        <v>1</v>
      </c>
      <c r="K41" t="s">
        <v>157</v>
      </c>
    </row>
    <row r="42" spans="1:11" x14ac:dyDescent="0.35">
      <c r="A42" t="s">
        <v>197</v>
      </c>
      <c r="B42" t="s">
        <v>197</v>
      </c>
      <c r="C42" t="s">
        <v>198</v>
      </c>
      <c r="D42" t="s">
        <v>199</v>
      </c>
      <c r="E42" t="s">
        <v>200</v>
      </c>
      <c r="F42">
        <v>72109</v>
      </c>
      <c r="G42" t="s">
        <v>201</v>
      </c>
      <c r="H42" t="s">
        <v>196</v>
      </c>
      <c r="I42">
        <v>96</v>
      </c>
      <c r="J42" t="s">
        <v>202</v>
      </c>
      <c r="K42" t="s">
        <v>197</v>
      </c>
    </row>
    <row r="43" spans="1:11" x14ac:dyDescent="0.35">
      <c r="A43" t="s">
        <v>197</v>
      </c>
      <c r="B43" t="s">
        <v>197</v>
      </c>
      <c r="C43" t="s">
        <v>198</v>
      </c>
      <c r="D43" t="s">
        <v>203</v>
      </c>
      <c r="E43" t="s">
        <v>204</v>
      </c>
      <c r="F43">
        <v>51921</v>
      </c>
      <c r="G43" t="s">
        <v>205</v>
      </c>
      <c r="H43" t="s">
        <v>196</v>
      </c>
      <c r="I43">
        <v>16</v>
      </c>
      <c r="J43" t="s">
        <v>206</v>
      </c>
      <c r="K43" t="s">
        <v>197</v>
      </c>
    </row>
    <row r="44" spans="1:11" x14ac:dyDescent="0.35">
      <c r="A44" t="s">
        <v>197</v>
      </c>
      <c r="B44" t="s">
        <v>197</v>
      </c>
      <c r="C44" t="s">
        <v>198</v>
      </c>
      <c r="D44" t="s">
        <v>207</v>
      </c>
      <c r="E44" t="s">
        <v>208</v>
      </c>
      <c r="F44">
        <v>14.65</v>
      </c>
      <c r="G44" t="s">
        <v>209</v>
      </c>
      <c r="H44" t="s">
        <v>43</v>
      </c>
      <c r="I44">
        <v>6</v>
      </c>
      <c r="J44" t="s">
        <v>210</v>
      </c>
      <c r="K44" t="s">
        <v>197</v>
      </c>
    </row>
    <row r="45" spans="1:11" x14ac:dyDescent="0.35">
      <c r="A45" t="s">
        <v>197</v>
      </c>
      <c r="B45" t="s">
        <v>197</v>
      </c>
      <c r="C45" t="s">
        <v>198</v>
      </c>
      <c r="D45" t="s">
        <v>211</v>
      </c>
      <c r="E45" t="s">
        <v>212</v>
      </c>
      <c r="F45">
        <v>17.96</v>
      </c>
      <c r="G45" t="s">
        <v>213</v>
      </c>
      <c r="H45" t="s">
        <v>43</v>
      </c>
      <c r="I45">
        <v>5</v>
      </c>
      <c r="K45" t="s">
        <v>197</v>
      </c>
    </row>
    <row r="46" spans="1:11" x14ac:dyDescent="0.35">
      <c r="A46" t="s">
        <v>197</v>
      </c>
      <c r="B46" t="s">
        <v>197</v>
      </c>
      <c r="C46" t="s">
        <v>198</v>
      </c>
      <c r="D46" t="s">
        <v>214</v>
      </c>
      <c r="E46" t="s">
        <v>215</v>
      </c>
      <c r="F46">
        <v>60529</v>
      </c>
      <c r="G46" t="s">
        <v>216</v>
      </c>
      <c r="H46" t="s">
        <v>196</v>
      </c>
      <c r="I46">
        <v>14</v>
      </c>
      <c r="J46" t="s">
        <v>217</v>
      </c>
      <c r="K46" t="s">
        <v>197</v>
      </c>
    </row>
    <row r="47" spans="1:11" x14ac:dyDescent="0.35">
      <c r="A47" t="s">
        <v>197</v>
      </c>
      <c r="B47" t="s">
        <v>197</v>
      </c>
      <c r="C47" t="s">
        <v>198</v>
      </c>
      <c r="D47" t="s">
        <v>218</v>
      </c>
      <c r="E47" t="s">
        <v>219</v>
      </c>
      <c r="F47">
        <v>68333</v>
      </c>
      <c r="G47" t="s">
        <v>220</v>
      </c>
      <c r="H47" t="s">
        <v>196</v>
      </c>
      <c r="I47">
        <v>2</v>
      </c>
      <c r="K47" t="s">
        <v>197</v>
      </c>
    </row>
    <row r="48" spans="1:11" x14ac:dyDescent="0.35">
      <c r="A48" t="s">
        <v>197</v>
      </c>
      <c r="B48" t="s">
        <v>197</v>
      </c>
      <c r="C48" t="s">
        <v>198</v>
      </c>
      <c r="D48" t="s">
        <v>221</v>
      </c>
      <c r="E48" t="s">
        <v>222</v>
      </c>
      <c r="F48">
        <v>16.649999999999999</v>
      </c>
      <c r="G48" t="s">
        <v>223</v>
      </c>
      <c r="H48" t="s">
        <v>43</v>
      </c>
      <c r="I48">
        <v>5</v>
      </c>
      <c r="K48" t="s">
        <v>197</v>
      </c>
    </row>
    <row r="49" spans="1:11" x14ac:dyDescent="0.35">
      <c r="A49" t="s">
        <v>197</v>
      </c>
      <c r="B49" t="s">
        <v>197</v>
      </c>
      <c r="C49" t="s">
        <v>198</v>
      </c>
      <c r="D49" t="s">
        <v>224</v>
      </c>
      <c r="E49" t="s">
        <v>225</v>
      </c>
      <c r="F49">
        <v>19.899999999999999</v>
      </c>
      <c r="G49" t="s">
        <v>226</v>
      </c>
      <c r="H49" t="s">
        <v>43</v>
      </c>
      <c r="I49">
        <v>3</v>
      </c>
      <c r="K49" t="s">
        <v>197</v>
      </c>
    </row>
    <row r="50" spans="1:11" x14ac:dyDescent="0.35">
      <c r="A50" t="s">
        <v>197</v>
      </c>
      <c r="B50" t="s">
        <v>197</v>
      </c>
      <c r="C50" t="s">
        <v>198</v>
      </c>
      <c r="D50" t="s">
        <v>227</v>
      </c>
      <c r="E50" t="s">
        <v>228</v>
      </c>
      <c r="F50">
        <v>64809</v>
      </c>
      <c r="G50" t="s">
        <v>229</v>
      </c>
      <c r="H50" t="s">
        <v>196</v>
      </c>
      <c r="I50">
        <v>1</v>
      </c>
      <c r="K50" t="s">
        <v>197</v>
      </c>
    </row>
    <row r="51" spans="1:11" x14ac:dyDescent="0.35">
      <c r="A51" t="s">
        <v>197</v>
      </c>
      <c r="B51" t="s">
        <v>197</v>
      </c>
      <c r="C51" t="s">
        <v>198</v>
      </c>
      <c r="D51" t="s">
        <v>230</v>
      </c>
      <c r="E51" t="s">
        <v>231</v>
      </c>
      <c r="F51">
        <v>18.97</v>
      </c>
      <c r="G51" t="s">
        <v>232</v>
      </c>
      <c r="H51" t="s">
        <v>43</v>
      </c>
      <c r="I51">
        <v>1</v>
      </c>
      <c r="K51" t="s">
        <v>197</v>
      </c>
    </row>
    <row r="52" spans="1:11" x14ac:dyDescent="0.35">
      <c r="A52" t="s">
        <v>233</v>
      </c>
      <c r="B52" t="s">
        <v>234</v>
      </c>
      <c r="C52" t="s">
        <v>235</v>
      </c>
      <c r="D52" t="s">
        <v>236</v>
      </c>
      <c r="E52" t="s">
        <v>237</v>
      </c>
      <c r="F52">
        <v>114214</v>
      </c>
      <c r="G52" t="s">
        <v>238</v>
      </c>
      <c r="H52" t="s">
        <v>196</v>
      </c>
      <c r="I52">
        <v>7</v>
      </c>
      <c r="J52" t="s">
        <v>239</v>
      </c>
      <c r="K52" t="s">
        <v>233</v>
      </c>
    </row>
    <row r="53" spans="1:11" x14ac:dyDescent="0.35">
      <c r="A53" t="s">
        <v>233</v>
      </c>
      <c r="B53" t="s">
        <v>234</v>
      </c>
      <c r="C53" t="s">
        <v>235</v>
      </c>
      <c r="D53" t="s">
        <v>240</v>
      </c>
      <c r="E53" t="s">
        <v>241</v>
      </c>
      <c r="F53">
        <v>60587</v>
      </c>
      <c r="G53" t="s">
        <v>242</v>
      </c>
      <c r="H53" t="s">
        <v>196</v>
      </c>
      <c r="I53">
        <v>7</v>
      </c>
      <c r="J53" t="s">
        <v>243</v>
      </c>
      <c r="K53" t="s">
        <v>233</v>
      </c>
    </row>
    <row r="54" spans="1:11" x14ac:dyDescent="0.35">
      <c r="A54" t="s">
        <v>233</v>
      </c>
      <c r="B54" t="s">
        <v>234</v>
      </c>
      <c r="C54" t="s">
        <v>235</v>
      </c>
      <c r="D54" t="s">
        <v>244</v>
      </c>
      <c r="E54" t="s">
        <v>245</v>
      </c>
      <c r="F54">
        <v>83227</v>
      </c>
      <c r="G54" t="s">
        <v>246</v>
      </c>
      <c r="H54" t="s">
        <v>196</v>
      </c>
      <c r="I54">
        <v>7</v>
      </c>
      <c r="J54" t="s">
        <v>247</v>
      </c>
      <c r="K54" t="s">
        <v>233</v>
      </c>
    </row>
    <row r="55" spans="1:11" x14ac:dyDescent="0.35">
      <c r="A55" t="s">
        <v>233</v>
      </c>
      <c r="B55" t="s">
        <v>234</v>
      </c>
      <c r="C55" t="s">
        <v>235</v>
      </c>
      <c r="D55" t="s">
        <v>248</v>
      </c>
      <c r="E55" t="s">
        <v>249</v>
      </c>
      <c r="F55">
        <v>165505</v>
      </c>
      <c r="G55" t="s">
        <v>250</v>
      </c>
      <c r="H55" t="s">
        <v>196</v>
      </c>
      <c r="I55">
        <v>11</v>
      </c>
      <c r="J55" t="s">
        <v>251</v>
      </c>
      <c r="K55" t="s">
        <v>233</v>
      </c>
    </row>
    <row r="56" spans="1:11" x14ac:dyDescent="0.35">
      <c r="A56" t="s">
        <v>233</v>
      </c>
      <c r="B56" t="s">
        <v>234</v>
      </c>
      <c r="C56" t="s">
        <v>235</v>
      </c>
      <c r="D56" t="s">
        <v>252</v>
      </c>
      <c r="E56" t="s">
        <v>253</v>
      </c>
      <c r="F56">
        <v>191558</v>
      </c>
      <c r="G56" t="s">
        <v>254</v>
      </c>
      <c r="H56" t="s">
        <v>196</v>
      </c>
      <c r="I56">
        <v>5</v>
      </c>
      <c r="K56" t="s">
        <v>233</v>
      </c>
    </row>
    <row r="57" spans="1:11" x14ac:dyDescent="0.35">
      <c r="A57" t="s">
        <v>233</v>
      </c>
      <c r="B57" t="s">
        <v>234</v>
      </c>
      <c r="C57" t="s">
        <v>235</v>
      </c>
      <c r="D57" t="s">
        <v>255</v>
      </c>
      <c r="E57" t="s">
        <v>256</v>
      </c>
      <c r="F57">
        <v>69671</v>
      </c>
      <c r="G57" t="s">
        <v>257</v>
      </c>
      <c r="H57" t="s">
        <v>196</v>
      </c>
      <c r="I57">
        <v>6</v>
      </c>
      <c r="J57" t="s">
        <v>258</v>
      </c>
      <c r="K57" t="s">
        <v>233</v>
      </c>
    </row>
    <row r="58" spans="1:11" x14ac:dyDescent="0.35">
      <c r="A58" t="s">
        <v>233</v>
      </c>
      <c r="B58" t="s">
        <v>234</v>
      </c>
      <c r="C58" t="s">
        <v>235</v>
      </c>
      <c r="D58" t="s">
        <v>259</v>
      </c>
      <c r="E58" t="s">
        <v>260</v>
      </c>
      <c r="F58">
        <v>66066</v>
      </c>
      <c r="G58" t="s">
        <v>261</v>
      </c>
      <c r="H58" t="s">
        <v>196</v>
      </c>
      <c r="I58">
        <v>13</v>
      </c>
      <c r="J58" t="s">
        <v>262</v>
      </c>
      <c r="K58" t="s">
        <v>233</v>
      </c>
    </row>
    <row r="59" spans="1:11" x14ac:dyDescent="0.35">
      <c r="A59" t="s">
        <v>233</v>
      </c>
      <c r="B59" t="s">
        <v>234</v>
      </c>
      <c r="C59" t="s">
        <v>235</v>
      </c>
      <c r="D59" t="s">
        <v>263</v>
      </c>
      <c r="E59" t="s">
        <v>264</v>
      </c>
      <c r="F59">
        <v>104584</v>
      </c>
      <c r="G59" t="s">
        <v>265</v>
      </c>
      <c r="H59" t="s">
        <v>196</v>
      </c>
      <c r="I59">
        <v>6</v>
      </c>
      <c r="J59" t="s">
        <v>266</v>
      </c>
      <c r="K59" t="s">
        <v>233</v>
      </c>
    </row>
    <row r="60" spans="1:11" x14ac:dyDescent="0.35">
      <c r="A60" t="s">
        <v>233</v>
      </c>
      <c r="B60" t="s">
        <v>234</v>
      </c>
      <c r="C60" t="s">
        <v>235</v>
      </c>
      <c r="D60" t="s">
        <v>267</v>
      </c>
      <c r="E60" t="s">
        <v>268</v>
      </c>
      <c r="F60">
        <v>62197</v>
      </c>
      <c r="G60" t="s">
        <v>269</v>
      </c>
      <c r="H60" t="s">
        <v>196</v>
      </c>
      <c r="I60">
        <v>5</v>
      </c>
      <c r="K60" t="s">
        <v>233</v>
      </c>
    </row>
    <row r="61" spans="1:11" x14ac:dyDescent="0.35">
      <c r="A61" t="s">
        <v>233</v>
      </c>
      <c r="B61" t="s">
        <v>234</v>
      </c>
      <c r="C61" t="s">
        <v>235</v>
      </c>
      <c r="D61" t="s">
        <v>270</v>
      </c>
      <c r="E61" t="s">
        <v>271</v>
      </c>
      <c r="F61">
        <v>108749</v>
      </c>
      <c r="G61" t="s">
        <v>272</v>
      </c>
      <c r="H61" t="s">
        <v>196</v>
      </c>
      <c r="I61">
        <v>6</v>
      </c>
      <c r="J61" t="s">
        <v>273</v>
      </c>
      <c r="K61" t="s">
        <v>233</v>
      </c>
    </row>
    <row r="62" spans="1:11" x14ac:dyDescent="0.35">
      <c r="A62" t="s">
        <v>274</v>
      </c>
      <c r="B62" t="s">
        <v>274</v>
      </c>
      <c r="C62" t="s">
        <v>80</v>
      </c>
      <c r="D62" t="s">
        <v>89</v>
      </c>
      <c r="E62" t="s">
        <v>90</v>
      </c>
      <c r="F62">
        <v>18.260000000000002</v>
      </c>
      <c r="G62" t="s">
        <v>275</v>
      </c>
      <c r="H62" t="s">
        <v>43</v>
      </c>
      <c r="I62">
        <v>77</v>
      </c>
      <c r="J62" t="s">
        <v>276</v>
      </c>
      <c r="K62" t="s">
        <v>274</v>
      </c>
    </row>
    <row r="63" spans="1:11" x14ac:dyDescent="0.35">
      <c r="A63" t="s">
        <v>274</v>
      </c>
      <c r="B63" t="s">
        <v>274</v>
      </c>
      <c r="C63" t="s">
        <v>80</v>
      </c>
      <c r="D63" t="s">
        <v>81</v>
      </c>
      <c r="E63" t="s">
        <v>82</v>
      </c>
      <c r="F63">
        <v>15.54</v>
      </c>
      <c r="G63" t="s">
        <v>277</v>
      </c>
      <c r="H63" t="s">
        <v>43</v>
      </c>
      <c r="I63">
        <v>22</v>
      </c>
      <c r="J63" t="s">
        <v>278</v>
      </c>
      <c r="K63" t="s">
        <v>274</v>
      </c>
    </row>
    <row r="64" spans="1:11" x14ac:dyDescent="0.35">
      <c r="A64" t="s">
        <v>274</v>
      </c>
      <c r="B64" t="s">
        <v>274</v>
      </c>
      <c r="C64" t="s">
        <v>80</v>
      </c>
      <c r="D64" t="s">
        <v>93</v>
      </c>
      <c r="E64" t="s">
        <v>94</v>
      </c>
      <c r="F64">
        <v>15.67</v>
      </c>
      <c r="G64" t="s">
        <v>279</v>
      </c>
      <c r="H64" t="s">
        <v>43</v>
      </c>
      <c r="I64">
        <v>24</v>
      </c>
      <c r="J64" t="s">
        <v>280</v>
      </c>
      <c r="K64" t="s">
        <v>274</v>
      </c>
    </row>
    <row r="65" spans="1:11" x14ac:dyDescent="0.35">
      <c r="A65" t="s">
        <v>274</v>
      </c>
      <c r="B65" t="s">
        <v>274</v>
      </c>
      <c r="C65" t="s">
        <v>80</v>
      </c>
      <c r="D65" t="s">
        <v>85</v>
      </c>
      <c r="E65" t="s">
        <v>86</v>
      </c>
      <c r="F65">
        <v>16.100000000000001</v>
      </c>
      <c r="G65" t="s">
        <v>281</v>
      </c>
      <c r="H65" t="s">
        <v>43</v>
      </c>
      <c r="I65">
        <v>27</v>
      </c>
      <c r="J65" t="s">
        <v>282</v>
      </c>
      <c r="K65" t="s">
        <v>274</v>
      </c>
    </row>
    <row r="66" spans="1:11" x14ac:dyDescent="0.35">
      <c r="A66" t="s">
        <v>274</v>
      </c>
      <c r="B66" t="s">
        <v>274</v>
      </c>
      <c r="C66" t="s">
        <v>80</v>
      </c>
      <c r="D66" t="s">
        <v>283</v>
      </c>
      <c r="E66" t="s">
        <v>284</v>
      </c>
      <c r="F66">
        <v>16.309999999999999</v>
      </c>
      <c r="G66" t="s">
        <v>285</v>
      </c>
      <c r="H66" t="s">
        <v>43</v>
      </c>
      <c r="I66">
        <v>27</v>
      </c>
      <c r="J66" t="s">
        <v>286</v>
      </c>
      <c r="K66" t="s">
        <v>274</v>
      </c>
    </row>
    <row r="67" spans="1:11" x14ac:dyDescent="0.35">
      <c r="A67" t="s">
        <v>274</v>
      </c>
      <c r="B67" t="s">
        <v>274</v>
      </c>
      <c r="C67" t="s">
        <v>80</v>
      </c>
      <c r="D67" t="s">
        <v>104</v>
      </c>
      <c r="E67" t="s">
        <v>105</v>
      </c>
      <c r="F67">
        <v>15.49</v>
      </c>
      <c r="G67" t="s">
        <v>287</v>
      </c>
      <c r="H67" t="s">
        <v>43</v>
      </c>
      <c r="I67">
        <v>11</v>
      </c>
      <c r="J67" t="s">
        <v>288</v>
      </c>
      <c r="K67" t="s">
        <v>274</v>
      </c>
    </row>
    <row r="68" spans="1:11" x14ac:dyDescent="0.35">
      <c r="A68" t="s">
        <v>274</v>
      </c>
      <c r="B68" t="s">
        <v>274</v>
      </c>
      <c r="C68" t="s">
        <v>80</v>
      </c>
      <c r="D68" t="s">
        <v>289</v>
      </c>
      <c r="E68" t="s">
        <v>290</v>
      </c>
      <c r="F68">
        <v>15.9</v>
      </c>
      <c r="G68" t="s">
        <v>291</v>
      </c>
      <c r="H68" t="s">
        <v>43</v>
      </c>
      <c r="I68">
        <v>9</v>
      </c>
      <c r="J68" t="s">
        <v>292</v>
      </c>
      <c r="K68" t="s">
        <v>274</v>
      </c>
    </row>
    <row r="69" spans="1:11" x14ac:dyDescent="0.35">
      <c r="A69" t="s">
        <v>274</v>
      </c>
      <c r="B69" t="s">
        <v>274</v>
      </c>
      <c r="C69" t="s">
        <v>80</v>
      </c>
      <c r="D69" t="s">
        <v>293</v>
      </c>
      <c r="E69" t="s">
        <v>294</v>
      </c>
      <c r="F69">
        <v>74900</v>
      </c>
      <c r="G69" t="s">
        <v>295</v>
      </c>
      <c r="H69" t="s">
        <v>196</v>
      </c>
      <c r="I69">
        <v>6</v>
      </c>
      <c r="J69" t="s">
        <v>296</v>
      </c>
      <c r="K69" t="s">
        <v>274</v>
      </c>
    </row>
    <row r="70" spans="1:11" x14ac:dyDescent="0.35">
      <c r="A70" t="s">
        <v>274</v>
      </c>
      <c r="B70" t="s">
        <v>274</v>
      </c>
      <c r="C70" t="s">
        <v>80</v>
      </c>
      <c r="D70" t="s">
        <v>297</v>
      </c>
      <c r="E70" t="s">
        <v>298</v>
      </c>
      <c r="F70">
        <v>15.45</v>
      </c>
      <c r="G70" t="s">
        <v>299</v>
      </c>
      <c r="H70" t="s">
        <v>43</v>
      </c>
      <c r="I70">
        <v>12</v>
      </c>
      <c r="J70" t="s">
        <v>300</v>
      </c>
      <c r="K70" t="s">
        <v>274</v>
      </c>
    </row>
    <row r="71" spans="1:11" x14ac:dyDescent="0.35">
      <c r="A71" t="s">
        <v>274</v>
      </c>
      <c r="B71" t="s">
        <v>274</v>
      </c>
      <c r="C71" t="s">
        <v>80</v>
      </c>
      <c r="D71" t="s">
        <v>301</v>
      </c>
      <c r="E71" t="s">
        <v>302</v>
      </c>
      <c r="F71">
        <v>23.39</v>
      </c>
      <c r="G71" t="s">
        <v>303</v>
      </c>
      <c r="H71" t="s">
        <v>43</v>
      </c>
      <c r="I71">
        <v>19</v>
      </c>
      <c r="J71" t="s">
        <v>304</v>
      </c>
      <c r="K71" t="s">
        <v>274</v>
      </c>
    </row>
    <row r="72" spans="1:11" x14ac:dyDescent="0.35">
      <c r="A72" t="s">
        <v>305</v>
      </c>
      <c r="B72" t="s">
        <v>306</v>
      </c>
      <c r="C72" t="s">
        <v>198</v>
      </c>
      <c r="D72" t="s">
        <v>218</v>
      </c>
      <c r="E72" t="s">
        <v>219</v>
      </c>
      <c r="F72">
        <v>16.190000000000001</v>
      </c>
      <c r="G72" t="s">
        <v>307</v>
      </c>
      <c r="H72" t="s">
        <v>43</v>
      </c>
      <c r="I72">
        <v>339</v>
      </c>
      <c r="J72" t="s">
        <v>308</v>
      </c>
      <c r="K72" t="s">
        <v>305</v>
      </c>
    </row>
    <row r="73" spans="1:11" x14ac:dyDescent="0.35">
      <c r="A73" t="s">
        <v>305</v>
      </c>
      <c r="B73" t="s">
        <v>306</v>
      </c>
      <c r="C73" t="s">
        <v>198</v>
      </c>
      <c r="D73" t="s">
        <v>199</v>
      </c>
      <c r="E73" t="s">
        <v>200</v>
      </c>
      <c r="F73">
        <v>23.31</v>
      </c>
      <c r="G73" t="s">
        <v>309</v>
      </c>
      <c r="H73" t="s">
        <v>43</v>
      </c>
      <c r="I73">
        <v>199</v>
      </c>
      <c r="J73" t="s">
        <v>310</v>
      </c>
      <c r="K73" t="s">
        <v>305</v>
      </c>
    </row>
    <row r="74" spans="1:11" x14ac:dyDescent="0.35">
      <c r="A74" t="s">
        <v>305</v>
      </c>
      <c r="B74" t="s">
        <v>306</v>
      </c>
      <c r="C74" t="s">
        <v>198</v>
      </c>
      <c r="D74" t="s">
        <v>214</v>
      </c>
      <c r="E74" t="s">
        <v>215</v>
      </c>
      <c r="F74">
        <v>23.17</v>
      </c>
      <c r="G74" t="s">
        <v>311</v>
      </c>
      <c r="H74" t="s">
        <v>43</v>
      </c>
      <c r="I74">
        <v>123</v>
      </c>
      <c r="J74" t="s">
        <v>312</v>
      </c>
      <c r="K74" t="s">
        <v>305</v>
      </c>
    </row>
    <row r="75" spans="1:11" x14ac:dyDescent="0.35">
      <c r="A75" t="s">
        <v>305</v>
      </c>
      <c r="B75" t="s">
        <v>306</v>
      </c>
      <c r="C75" t="s">
        <v>198</v>
      </c>
      <c r="D75" t="s">
        <v>313</v>
      </c>
      <c r="E75" t="s">
        <v>314</v>
      </c>
      <c r="F75">
        <v>21.12</v>
      </c>
      <c r="G75" t="s">
        <v>315</v>
      </c>
      <c r="H75" t="s">
        <v>43</v>
      </c>
      <c r="I75">
        <v>228</v>
      </c>
      <c r="J75" t="s">
        <v>316</v>
      </c>
      <c r="K75" t="s">
        <v>305</v>
      </c>
    </row>
    <row r="76" spans="1:11" x14ac:dyDescent="0.35">
      <c r="A76" t="s">
        <v>305</v>
      </c>
      <c r="B76" t="s">
        <v>306</v>
      </c>
      <c r="C76" t="s">
        <v>198</v>
      </c>
      <c r="D76" t="s">
        <v>207</v>
      </c>
      <c r="E76" t="s">
        <v>208</v>
      </c>
      <c r="F76">
        <v>17.86</v>
      </c>
      <c r="G76" t="s">
        <v>317</v>
      </c>
      <c r="H76" t="s">
        <v>43</v>
      </c>
      <c r="I76">
        <v>60</v>
      </c>
      <c r="J76" t="s">
        <v>318</v>
      </c>
      <c r="K76" t="s">
        <v>305</v>
      </c>
    </row>
    <row r="77" spans="1:11" x14ac:dyDescent="0.35">
      <c r="A77" t="s">
        <v>305</v>
      </c>
      <c r="B77" t="s">
        <v>306</v>
      </c>
      <c r="C77" t="s">
        <v>198</v>
      </c>
      <c r="D77" t="s">
        <v>319</v>
      </c>
      <c r="E77" t="s">
        <v>320</v>
      </c>
      <c r="F77">
        <v>20.93</v>
      </c>
      <c r="G77" t="s">
        <v>321</v>
      </c>
      <c r="H77" t="s">
        <v>43</v>
      </c>
      <c r="I77">
        <v>105</v>
      </c>
      <c r="J77" t="s">
        <v>322</v>
      </c>
      <c r="K77" t="s">
        <v>305</v>
      </c>
    </row>
    <row r="78" spans="1:11" x14ac:dyDescent="0.35">
      <c r="A78" t="s">
        <v>305</v>
      </c>
      <c r="B78" t="s">
        <v>306</v>
      </c>
      <c r="C78" t="s">
        <v>198</v>
      </c>
      <c r="D78" t="s">
        <v>323</v>
      </c>
      <c r="E78" t="s">
        <v>324</v>
      </c>
      <c r="F78">
        <v>14.67</v>
      </c>
      <c r="G78" t="s">
        <v>325</v>
      </c>
      <c r="H78" t="s">
        <v>43</v>
      </c>
      <c r="I78">
        <v>13</v>
      </c>
      <c r="J78" t="s">
        <v>326</v>
      </c>
      <c r="K78" t="s">
        <v>305</v>
      </c>
    </row>
    <row r="79" spans="1:11" x14ac:dyDescent="0.35">
      <c r="A79" t="s">
        <v>305</v>
      </c>
      <c r="B79" t="s">
        <v>306</v>
      </c>
      <c r="C79" t="s">
        <v>198</v>
      </c>
      <c r="D79" t="s">
        <v>327</v>
      </c>
      <c r="E79" t="s">
        <v>328</v>
      </c>
      <c r="F79">
        <v>17.52</v>
      </c>
      <c r="G79" t="s">
        <v>329</v>
      </c>
      <c r="H79" t="s">
        <v>43</v>
      </c>
      <c r="I79">
        <v>58</v>
      </c>
      <c r="J79" t="s">
        <v>330</v>
      </c>
      <c r="K79" t="s">
        <v>305</v>
      </c>
    </row>
    <row r="80" spans="1:11" x14ac:dyDescent="0.35">
      <c r="A80" t="s">
        <v>305</v>
      </c>
      <c r="B80" t="s">
        <v>306</v>
      </c>
      <c r="C80" t="s">
        <v>198</v>
      </c>
      <c r="D80" t="s">
        <v>221</v>
      </c>
      <c r="E80" t="s">
        <v>222</v>
      </c>
      <c r="F80">
        <v>14.85</v>
      </c>
      <c r="G80" t="s">
        <v>331</v>
      </c>
      <c r="H80" t="s">
        <v>43</v>
      </c>
      <c r="I80">
        <v>18</v>
      </c>
      <c r="J80" t="s">
        <v>332</v>
      </c>
      <c r="K80" t="s">
        <v>305</v>
      </c>
    </row>
    <row r="81" spans="1:11" x14ac:dyDescent="0.35">
      <c r="A81" t="s">
        <v>305</v>
      </c>
      <c r="B81" t="s">
        <v>306</v>
      </c>
      <c r="C81" t="s">
        <v>198</v>
      </c>
      <c r="D81" t="s">
        <v>333</v>
      </c>
      <c r="E81" t="s">
        <v>334</v>
      </c>
      <c r="F81">
        <v>15.89</v>
      </c>
      <c r="G81" t="s">
        <v>335</v>
      </c>
      <c r="H81" t="s">
        <v>43</v>
      </c>
      <c r="I81">
        <v>6</v>
      </c>
      <c r="J81" t="s">
        <v>336</v>
      </c>
      <c r="K81" t="s">
        <v>305</v>
      </c>
    </row>
    <row r="82" spans="1:11" x14ac:dyDescent="0.35">
      <c r="A82" t="s">
        <v>337</v>
      </c>
      <c r="B82" t="s">
        <v>337</v>
      </c>
      <c r="C82" t="s">
        <v>338</v>
      </c>
      <c r="D82" t="s">
        <v>339</v>
      </c>
      <c r="E82" t="s">
        <v>340</v>
      </c>
      <c r="F82">
        <v>37.65</v>
      </c>
      <c r="G82" t="s">
        <v>341</v>
      </c>
      <c r="H82" t="s">
        <v>43</v>
      </c>
      <c r="I82">
        <v>110</v>
      </c>
      <c r="J82" t="s">
        <v>342</v>
      </c>
      <c r="K82" t="s">
        <v>337</v>
      </c>
    </row>
    <row r="83" spans="1:11" x14ac:dyDescent="0.35">
      <c r="A83" t="s">
        <v>337</v>
      </c>
      <c r="B83" t="s">
        <v>337</v>
      </c>
      <c r="C83" t="s">
        <v>338</v>
      </c>
      <c r="D83" t="s">
        <v>128</v>
      </c>
      <c r="E83" t="s">
        <v>129</v>
      </c>
      <c r="F83">
        <v>29.05</v>
      </c>
      <c r="G83" t="s">
        <v>343</v>
      </c>
      <c r="H83" t="s">
        <v>43</v>
      </c>
      <c r="I83">
        <v>48</v>
      </c>
      <c r="J83" t="s">
        <v>344</v>
      </c>
      <c r="K83" t="s">
        <v>337</v>
      </c>
    </row>
    <row r="84" spans="1:11" x14ac:dyDescent="0.35">
      <c r="A84" t="s">
        <v>337</v>
      </c>
      <c r="B84" t="s">
        <v>337</v>
      </c>
      <c r="C84" t="s">
        <v>338</v>
      </c>
      <c r="D84" t="s">
        <v>345</v>
      </c>
      <c r="E84" t="s">
        <v>346</v>
      </c>
      <c r="F84">
        <v>35.729999999999997</v>
      </c>
      <c r="G84" t="s">
        <v>347</v>
      </c>
      <c r="H84" t="s">
        <v>43</v>
      </c>
      <c r="I84">
        <v>19</v>
      </c>
      <c r="J84" t="s">
        <v>348</v>
      </c>
      <c r="K84" t="s">
        <v>337</v>
      </c>
    </row>
    <row r="85" spans="1:11" x14ac:dyDescent="0.35">
      <c r="A85" t="s">
        <v>337</v>
      </c>
      <c r="B85" t="s">
        <v>337</v>
      </c>
      <c r="C85" t="s">
        <v>338</v>
      </c>
      <c r="D85" t="s">
        <v>349</v>
      </c>
      <c r="E85" t="s">
        <v>350</v>
      </c>
      <c r="F85">
        <v>30.11</v>
      </c>
      <c r="G85" t="s">
        <v>351</v>
      </c>
      <c r="H85" t="s">
        <v>43</v>
      </c>
      <c r="I85">
        <v>72</v>
      </c>
      <c r="J85" t="s">
        <v>352</v>
      </c>
      <c r="K85" t="s">
        <v>337</v>
      </c>
    </row>
    <row r="86" spans="1:11" x14ac:dyDescent="0.35">
      <c r="A86" t="s">
        <v>337</v>
      </c>
      <c r="B86" t="s">
        <v>337</v>
      </c>
      <c r="C86" t="s">
        <v>338</v>
      </c>
      <c r="D86" t="s">
        <v>353</v>
      </c>
      <c r="E86" t="s">
        <v>354</v>
      </c>
      <c r="F86">
        <v>36.630000000000003</v>
      </c>
      <c r="G86" t="s">
        <v>355</v>
      </c>
      <c r="H86" t="s">
        <v>43</v>
      </c>
      <c r="I86">
        <v>10</v>
      </c>
      <c r="J86" t="s">
        <v>356</v>
      </c>
      <c r="K86" t="s">
        <v>337</v>
      </c>
    </row>
    <row r="87" spans="1:11" x14ac:dyDescent="0.35">
      <c r="A87" t="s">
        <v>337</v>
      </c>
      <c r="B87" t="s">
        <v>337</v>
      </c>
      <c r="C87" t="s">
        <v>338</v>
      </c>
      <c r="D87" t="s">
        <v>357</v>
      </c>
      <c r="E87" t="s">
        <v>358</v>
      </c>
      <c r="F87">
        <v>36.18</v>
      </c>
      <c r="G87" t="s">
        <v>359</v>
      </c>
      <c r="H87" t="s">
        <v>43</v>
      </c>
      <c r="I87">
        <v>7</v>
      </c>
      <c r="J87" t="s">
        <v>360</v>
      </c>
      <c r="K87" t="s">
        <v>337</v>
      </c>
    </row>
    <row r="88" spans="1:11" x14ac:dyDescent="0.35">
      <c r="A88" t="s">
        <v>337</v>
      </c>
      <c r="B88" t="s">
        <v>337</v>
      </c>
      <c r="C88" t="s">
        <v>338</v>
      </c>
      <c r="D88" t="s">
        <v>361</v>
      </c>
      <c r="E88" t="s">
        <v>362</v>
      </c>
      <c r="F88">
        <v>37.200000000000003</v>
      </c>
      <c r="G88" t="s">
        <v>363</v>
      </c>
      <c r="H88" t="s">
        <v>43</v>
      </c>
      <c r="I88">
        <v>7</v>
      </c>
      <c r="J88" t="s">
        <v>364</v>
      </c>
      <c r="K88" t="s">
        <v>337</v>
      </c>
    </row>
    <row r="89" spans="1:11" x14ac:dyDescent="0.35">
      <c r="A89" t="s">
        <v>337</v>
      </c>
      <c r="B89" t="s">
        <v>337</v>
      </c>
      <c r="C89" t="s">
        <v>338</v>
      </c>
      <c r="D89" t="s">
        <v>365</v>
      </c>
      <c r="E89" t="s">
        <v>366</v>
      </c>
      <c r="F89">
        <v>30.2</v>
      </c>
      <c r="G89" t="s">
        <v>367</v>
      </c>
      <c r="H89" t="s">
        <v>43</v>
      </c>
      <c r="I89">
        <v>14</v>
      </c>
      <c r="J89" t="s">
        <v>368</v>
      </c>
      <c r="K89" t="s">
        <v>337</v>
      </c>
    </row>
    <row r="90" spans="1:11" x14ac:dyDescent="0.35">
      <c r="A90" t="s">
        <v>337</v>
      </c>
      <c r="B90" t="s">
        <v>337</v>
      </c>
      <c r="C90" t="s">
        <v>338</v>
      </c>
      <c r="D90" t="s">
        <v>369</v>
      </c>
      <c r="E90" t="s">
        <v>370</v>
      </c>
      <c r="F90">
        <v>27.74</v>
      </c>
      <c r="G90" t="s">
        <v>371</v>
      </c>
      <c r="H90" t="s">
        <v>43</v>
      </c>
      <c r="I90">
        <v>16</v>
      </c>
      <c r="J90" t="s">
        <v>372</v>
      </c>
      <c r="K90" t="s">
        <v>337</v>
      </c>
    </row>
    <row r="91" spans="1:11" x14ac:dyDescent="0.35">
      <c r="A91" t="s">
        <v>337</v>
      </c>
      <c r="B91" t="s">
        <v>337</v>
      </c>
      <c r="C91" t="s">
        <v>338</v>
      </c>
      <c r="D91" t="s">
        <v>373</v>
      </c>
      <c r="E91" t="s">
        <v>374</v>
      </c>
      <c r="F91">
        <v>29</v>
      </c>
      <c r="G91" t="s">
        <v>375</v>
      </c>
      <c r="H91" t="s">
        <v>43</v>
      </c>
      <c r="I91">
        <v>14</v>
      </c>
      <c r="J91" t="s">
        <v>376</v>
      </c>
      <c r="K91" t="s">
        <v>337</v>
      </c>
    </row>
    <row r="92" spans="1:11" x14ac:dyDescent="0.35">
      <c r="A92" t="s">
        <v>377</v>
      </c>
      <c r="B92" t="s">
        <v>377</v>
      </c>
      <c r="C92" t="s">
        <v>378</v>
      </c>
      <c r="D92" t="s">
        <v>379</v>
      </c>
      <c r="E92" t="s">
        <v>380</v>
      </c>
      <c r="F92">
        <v>121230</v>
      </c>
      <c r="G92" t="s">
        <v>381</v>
      </c>
      <c r="H92" t="s">
        <v>196</v>
      </c>
      <c r="I92">
        <v>9</v>
      </c>
      <c r="J92" t="s">
        <v>382</v>
      </c>
      <c r="K92" t="s">
        <v>377</v>
      </c>
    </row>
    <row r="93" spans="1:11" x14ac:dyDescent="0.35">
      <c r="A93" t="s">
        <v>377</v>
      </c>
      <c r="B93" t="s">
        <v>377</v>
      </c>
      <c r="C93" t="s">
        <v>378</v>
      </c>
      <c r="D93" t="s">
        <v>383</v>
      </c>
      <c r="E93" t="s">
        <v>384</v>
      </c>
      <c r="F93">
        <v>98101</v>
      </c>
      <c r="G93" t="s">
        <v>385</v>
      </c>
      <c r="H93" t="s">
        <v>196</v>
      </c>
      <c r="I93">
        <v>10</v>
      </c>
      <c r="J93" t="s">
        <v>386</v>
      </c>
      <c r="K93" t="s">
        <v>377</v>
      </c>
    </row>
    <row r="94" spans="1:11" x14ac:dyDescent="0.35">
      <c r="A94" t="s">
        <v>377</v>
      </c>
      <c r="B94" t="s">
        <v>377</v>
      </c>
      <c r="C94" t="s">
        <v>378</v>
      </c>
      <c r="D94" t="s">
        <v>387</v>
      </c>
      <c r="E94" t="s">
        <v>388</v>
      </c>
      <c r="F94">
        <v>199325</v>
      </c>
      <c r="G94" t="s">
        <v>389</v>
      </c>
      <c r="H94" t="s">
        <v>196</v>
      </c>
      <c r="I94">
        <v>6</v>
      </c>
      <c r="J94" t="s">
        <v>390</v>
      </c>
      <c r="K94" t="s">
        <v>377</v>
      </c>
    </row>
    <row r="95" spans="1:11" x14ac:dyDescent="0.35">
      <c r="A95" t="s">
        <v>377</v>
      </c>
      <c r="B95" t="s">
        <v>377</v>
      </c>
      <c r="C95" t="s">
        <v>378</v>
      </c>
      <c r="D95" t="s">
        <v>391</v>
      </c>
      <c r="E95" t="s">
        <v>392</v>
      </c>
      <c r="F95">
        <v>85042</v>
      </c>
      <c r="G95" t="s">
        <v>393</v>
      </c>
      <c r="H95" t="s">
        <v>196</v>
      </c>
      <c r="I95">
        <v>5</v>
      </c>
      <c r="K95" t="s">
        <v>377</v>
      </c>
    </row>
    <row r="96" spans="1:11" x14ac:dyDescent="0.35">
      <c r="A96" t="s">
        <v>377</v>
      </c>
      <c r="B96" t="s">
        <v>377</v>
      </c>
      <c r="C96" t="s">
        <v>378</v>
      </c>
      <c r="D96" t="s">
        <v>378</v>
      </c>
      <c r="E96" t="s">
        <v>394</v>
      </c>
      <c r="F96">
        <v>110602</v>
      </c>
      <c r="G96" t="s">
        <v>395</v>
      </c>
      <c r="H96" t="s">
        <v>196</v>
      </c>
      <c r="I96">
        <v>9</v>
      </c>
      <c r="J96" t="s">
        <v>396</v>
      </c>
      <c r="K96" t="s">
        <v>377</v>
      </c>
    </row>
    <row r="97" spans="1:11" x14ac:dyDescent="0.35">
      <c r="A97" t="s">
        <v>377</v>
      </c>
      <c r="B97" t="s">
        <v>377</v>
      </c>
      <c r="C97" t="s">
        <v>378</v>
      </c>
      <c r="D97" t="s">
        <v>397</v>
      </c>
      <c r="E97" t="s">
        <v>398</v>
      </c>
      <c r="F97">
        <v>145282</v>
      </c>
      <c r="G97" t="s">
        <v>399</v>
      </c>
      <c r="H97" t="s">
        <v>196</v>
      </c>
      <c r="I97">
        <v>6</v>
      </c>
      <c r="J97" t="s">
        <v>400</v>
      </c>
      <c r="K97" t="s">
        <v>377</v>
      </c>
    </row>
    <row r="98" spans="1:11" x14ac:dyDescent="0.35">
      <c r="A98" t="s">
        <v>377</v>
      </c>
      <c r="B98" t="s">
        <v>377</v>
      </c>
      <c r="C98" t="s">
        <v>378</v>
      </c>
      <c r="D98" t="s">
        <v>401</v>
      </c>
      <c r="E98" t="s">
        <v>402</v>
      </c>
      <c r="F98">
        <v>79264</v>
      </c>
      <c r="G98" t="s">
        <v>403</v>
      </c>
      <c r="H98" t="s">
        <v>196</v>
      </c>
      <c r="I98">
        <v>9</v>
      </c>
      <c r="J98" t="s">
        <v>404</v>
      </c>
      <c r="K98" t="s">
        <v>377</v>
      </c>
    </row>
    <row r="99" spans="1:11" x14ac:dyDescent="0.35">
      <c r="A99" t="s">
        <v>377</v>
      </c>
      <c r="B99" t="s">
        <v>377</v>
      </c>
      <c r="C99" t="s">
        <v>378</v>
      </c>
      <c r="D99" t="s">
        <v>405</v>
      </c>
      <c r="E99" t="s">
        <v>406</v>
      </c>
      <c r="F99">
        <v>163802</v>
      </c>
      <c r="G99" t="s">
        <v>407</v>
      </c>
      <c r="H99" t="s">
        <v>196</v>
      </c>
      <c r="I99">
        <v>6</v>
      </c>
      <c r="J99" t="s">
        <v>408</v>
      </c>
      <c r="K99" t="s">
        <v>377</v>
      </c>
    </row>
    <row r="100" spans="1:11" x14ac:dyDescent="0.35">
      <c r="A100" t="s">
        <v>377</v>
      </c>
      <c r="B100" t="s">
        <v>377</v>
      </c>
      <c r="C100" t="s">
        <v>378</v>
      </c>
      <c r="D100" t="s">
        <v>409</v>
      </c>
      <c r="E100" t="s">
        <v>410</v>
      </c>
      <c r="F100">
        <v>173782</v>
      </c>
      <c r="G100" t="s">
        <v>411</v>
      </c>
      <c r="H100" t="s">
        <v>196</v>
      </c>
      <c r="I100">
        <v>10</v>
      </c>
      <c r="J100" t="s">
        <v>412</v>
      </c>
      <c r="K100" t="s">
        <v>377</v>
      </c>
    </row>
    <row r="101" spans="1:11" x14ac:dyDescent="0.35">
      <c r="A101" t="s">
        <v>377</v>
      </c>
      <c r="B101" t="s">
        <v>377</v>
      </c>
      <c r="C101" t="s">
        <v>378</v>
      </c>
      <c r="D101" t="s">
        <v>413</v>
      </c>
      <c r="E101" t="s">
        <v>414</v>
      </c>
      <c r="F101">
        <v>129480</v>
      </c>
      <c r="G101" t="s">
        <v>415</v>
      </c>
      <c r="H101" t="s">
        <v>196</v>
      </c>
      <c r="I101">
        <v>11</v>
      </c>
      <c r="J101" t="s">
        <v>416</v>
      </c>
      <c r="K101" t="s">
        <v>377</v>
      </c>
    </row>
    <row r="102" spans="1:11" x14ac:dyDescent="0.35">
      <c r="A102" t="s">
        <v>417</v>
      </c>
      <c r="B102" t="s">
        <v>417</v>
      </c>
      <c r="C102" t="s">
        <v>378</v>
      </c>
      <c r="D102" t="s">
        <v>418</v>
      </c>
      <c r="E102" t="s">
        <v>419</v>
      </c>
      <c r="F102">
        <v>16.46</v>
      </c>
      <c r="G102" t="s">
        <v>420</v>
      </c>
      <c r="H102" t="s">
        <v>43</v>
      </c>
      <c r="I102">
        <v>361</v>
      </c>
      <c r="J102" t="s">
        <v>421</v>
      </c>
      <c r="K102" t="s">
        <v>417</v>
      </c>
    </row>
    <row r="103" spans="1:11" x14ac:dyDescent="0.35">
      <c r="A103" t="s">
        <v>417</v>
      </c>
      <c r="B103" t="s">
        <v>417</v>
      </c>
      <c r="C103" t="s">
        <v>378</v>
      </c>
      <c r="D103" t="s">
        <v>391</v>
      </c>
      <c r="E103" t="s">
        <v>392</v>
      </c>
      <c r="F103">
        <v>23.3</v>
      </c>
      <c r="G103" t="s">
        <v>422</v>
      </c>
      <c r="H103" t="s">
        <v>43</v>
      </c>
      <c r="I103">
        <v>6</v>
      </c>
      <c r="J103" t="s">
        <v>423</v>
      </c>
      <c r="K103" t="s">
        <v>417</v>
      </c>
    </row>
    <row r="104" spans="1:11" x14ac:dyDescent="0.35">
      <c r="A104" t="s">
        <v>417</v>
      </c>
      <c r="B104" t="s">
        <v>417</v>
      </c>
      <c r="C104" t="s">
        <v>378</v>
      </c>
      <c r="D104" t="s">
        <v>424</v>
      </c>
      <c r="E104" t="s">
        <v>425</v>
      </c>
      <c r="F104">
        <v>22.62</v>
      </c>
      <c r="G104" t="s">
        <v>426</v>
      </c>
      <c r="H104" t="s">
        <v>43</v>
      </c>
      <c r="I104">
        <v>16</v>
      </c>
      <c r="J104" t="s">
        <v>427</v>
      </c>
      <c r="K104" t="s">
        <v>417</v>
      </c>
    </row>
    <row r="105" spans="1:11" x14ac:dyDescent="0.35">
      <c r="A105" t="s">
        <v>417</v>
      </c>
      <c r="B105" t="s">
        <v>417</v>
      </c>
      <c r="C105" t="s">
        <v>378</v>
      </c>
      <c r="D105" t="s">
        <v>428</v>
      </c>
      <c r="E105" t="s">
        <v>429</v>
      </c>
      <c r="F105">
        <v>21.47</v>
      </c>
      <c r="G105" t="s">
        <v>430</v>
      </c>
      <c r="H105" t="s">
        <v>43</v>
      </c>
      <c r="I105">
        <v>11</v>
      </c>
      <c r="J105" t="s">
        <v>431</v>
      </c>
      <c r="K105" t="s">
        <v>417</v>
      </c>
    </row>
    <row r="106" spans="1:11" x14ac:dyDescent="0.35">
      <c r="A106" t="s">
        <v>417</v>
      </c>
      <c r="B106" t="s">
        <v>417</v>
      </c>
      <c r="C106" t="s">
        <v>378</v>
      </c>
      <c r="D106" t="s">
        <v>378</v>
      </c>
      <c r="E106" t="s">
        <v>394</v>
      </c>
      <c r="F106">
        <v>20.059999999999999</v>
      </c>
      <c r="G106" t="s">
        <v>432</v>
      </c>
      <c r="H106" t="s">
        <v>43</v>
      </c>
      <c r="I106">
        <v>6</v>
      </c>
      <c r="J106" t="s">
        <v>433</v>
      </c>
      <c r="K106" t="s">
        <v>417</v>
      </c>
    </row>
    <row r="107" spans="1:11" x14ac:dyDescent="0.35">
      <c r="A107" t="s">
        <v>417</v>
      </c>
      <c r="B107" t="s">
        <v>417</v>
      </c>
      <c r="C107" t="s">
        <v>378</v>
      </c>
      <c r="D107" t="s">
        <v>379</v>
      </c>
      <c r="E107" t="s">
        <v>380</v>
      </c>
      <c r="F107">
        <v>97514</v>
      </c>
      <c r="G107" t="s">
        <v>434</v>
      </c>
      <c r="H107" t="s">
        <v>196</v>
      </c>
      <c r="I107">
        <v>5</v>
      </c>
      <c r="K107" t="s">
        <v>417</v>
      </c>
    </row>
    <row r="108" spans="1:11" x14ac:dyDescent="0.35">
      <c r="A108" t="s">
        <v>417</v>
      </c>
      <c r="B108" t="s">
        <v>417</v>
      </c>
      <c r="C108" t="s">
        <v>378</v>
      </c>
      <c r="D108" t="s">
        <v>387</v>
      </c>
      <c r="E108" t="s">
        <v>388</v>
      </c>
      <c r="F108">
        <v>135173</v>
      </c>
      <c r="G108" t="s">
        <v>435</v>
      </c>
      <c r="H108" t="s">
        <v>196</v>
      </c>
      <c r="I108">
        <v>7</v>
      </c>
      <c r="J108" t="s">
        <v>436</v>
      </c>
      <c r="K108" t="s">
        <v>417</v>
      </c>
    </row>
    <row r="109" spans="1:11" x14ac:dyDescent="0.35">
      <c r="A109" t="s">
        <v>417</v>
      </c>
      <c r="B109" t="s">
        <v>417</v>
      </c>
      <c r="C109" t="s">
        <v>378</v>
      </c>
      <c r="D109" t="s">
        <v>401</v>
      </c>
      <c r="E109" t="s">
        <v>402</v>
      </c>
      <c r="F109">
        <v>66910</v>
      </c>
      <c r="G109" t="s">
        <v>437</v>
      </c>
      <c r="H109" t="s">
        <v>196</v>
      </c>
      <c r="I109">
        <v>10</v>
      </c>
      <c r="J109" t="s">
        <v>438</v>
      </c>
      <c r="K109" t="s">
        <v>417</v>
      </c>
    </row>
    <row r="110" spans="1:11" x14ac:dyDescent="0.35">
      <c r="A110" t="s">
        <v>417</v>
      </c>
      <c r="B110" t="s">
        <v>417</v>
      </c>
      <c r="C110" t="s">
        <v>378</v>
      </c>
      <c r="D110" t="s">
        <v>397</v>
      </c>
      <c r="E110" t="s">
        <v>398</v>
      </c>
      <c r="F110">
        <v>220157</v>
      </c>
      <c r="G110" t="s">
        <v>439</v>
      </c>
      <c r="H110" t="s">
        <v>196</v>
      </c>
      <c r="I110">
        <v>6</v>
      </c>
      <c r="J110" t="s">
        <v>440</v>
      </c>
      <c r="K110" t="s">
        <v>417</v>
      </c>
    </row>
    <row r="111" spans="1:11" x14ac:dyDescent="0.35">
      <c r="A111" t="s">
        <v>417</v>
      </c>
      <c r="B111" t="s">
        <v>417</v>
      </c>
      <c r="C111" t="s">
        <v>378</v>
      </c>
      <c r="D111" t="s">
        <v>441</v>
      </c>
      <c r="E111" t="s">
        <v>442</v>
      </c>
      <c r="F111">
        <v>66227</v>
      </c>
      <c r="G111" t="s">
        <v>443</v>
      </c>
      <c r="H111" t="s">
        <v>196</v>
      </c>
      <c r="I111">
        <v>6</v>
      </c>
      <c r="J111" t="s">
        <v>444</v>
      </c>
      <c r="K111" t="s">
        <v>417</v>
      </c>
    </row>
    <row r="112" spans="1:11" x14ac:dyDescent="0.35">
      <c r="A112" t="s">
        <v>445</v>
      </c>
      <c r="B112" t="s">
        <v>445</v>
      </c>
      <c r="C112" t="s">
        <v>378</v>
      </c>
      <c r="D112" t="s">
        <v>387</v>
      </c>
      <c r="E112" t="s">
        <v>388</v>
      </c>
      <c r="F112">
        <v>123495</v>
      </c>
      <c r="G112" t="s">
        <v>446</v>
      </c>
      <c r="H112" t="s">
        <v>196</v>
      </c>
      <c r="I112">
        <v>14</v>
      </c>
      <c r="J112" t="s">
        <v>447</v>
      </c>
      <c r="K112" t="s">
        <v>445</v>
      </c>
    </row>
    <row r="113" spans="1:11" x14ac:dyDescent="0.35">
      <c r="A113" t="s">
        <v>445</v>
      </c>
      <c r="B113" t="s">
        <v>445</v>
      </c>
      <c r="C113" t="s">
        <v>378</v>
      </c>
      <c r="D113" t="s">
        <v>379</v>
      </c>
      <c r="E113" t="s">
        <v>380</v>
      </c>
      <c r="F113">
        <v>139354</v>
      </c>
      <c r="G113" t="s">
        <v>448</v>
      </c>
      <c r="H113" t="s">
        <v>196</v>
      </c>
      <c r="I113">
        <v>7</v>
      </c>
      <c r="J113" t="s">
        <v>449</v>
      </c>
      <c r="K113" t="s">
        <v>445</v>
      </c>
    </row>
    <row r="114" spans="1:11" x14ac:dyDescent="0.35">
      <c r="A114" t="s">
        <v>445</v>
      </c>
      <c r="B114" t="s">
        <v>445</v>
      </c>
      <c r="C114" t="s">
        <v>378</v>
      </c>
      <c r="D114" t="s">
        <v>450</v>
      </c>
      <c r="E114" t="s">
        <v>451</v>
      </c>
      <c r="F114">
        <v>64210</v>
      </c>
      <c r="G114" t="s">
        <v>452</v>
      </c>
      <c r="H114" t="s">
        <v>196</v>
      </c>
      <c r="I114">
        <v>14</v>
      </c>
      <c r="J114" t="s">
        <v>453</v>
      </c>
      <c r="K114" t="s">
        <v>445</v>
      </c>
    </row>
    <row r="115" spans="1:11" x14ac:dyDescent="0.35">
      <c r="A115" t="s">
        <v>445</v>
      </c>
      <c r="B115" t="s">
        <v>445</v>
      </c>
      <c r="C115" t="s">
        <v>378</v>
      </c>
      <c r="D115" t="s">
        <v>405</v>
      </c>
      <c r="E115" t="s">
        <v>406</v>
      </c>
      <c r="F115">
        <v>158588</v>
      </c>
      <c r="G115" t="s">
        <v>454</v>
      </c>
      <c r="H115" t="s">
        <v>196</v>
      </c>
      <c r="I115">
        <v>6</v>
      </c>
      <c r="J115" t="s">
        <v>455</v>
      </c>
      <c r="K115" t="s">
        <v>445</v>
      </c>
    </row>
    <row r="116" spans="1:11" x14ac:dyDescent="0.35">
      <c r="A116" t="s">
        <v>445</v>
      </c>
      <c r="B116" t="s">
        <v>445</v>
      </c>
      <c r="C116" t="s">
        <v>378</v>
      </c>
      <c r="D116" t="s">
        <v>391</v>
      </c>
      <c r="E116" t="s">
        <v>392</v>
      </c>
      <c r="F116">
        <v>75784</v>
      </c>
      <c r="G116" t="s">
        <v>456</v>
      </c>
      <c r="H116" t="s">
        <v>196</v>
      </c>
      <c r="I116">
        <v>11</v>
      </c>
      <c r="J116" t="s">
        <v>457</v>
      </c>
      <c r="K116" t="s">
        <v>445</v>
      </c>
    </row>
    <row r="117" spans="1:11" x14ac:dyDescent="0.35">
      <c r="A117" t="s">
        <v>445</v>
      </c>
      <c r="B117" t="s">
        <v>445</v>
      </c>
      <c r="C117" t="s">
        <v>378</v>
      </c>
      <c r="D117" t="s">
        <v>378</v>
      </c>
      <c r="E117" t="s">
        <v>394</v>
      </c>
      <c r="F117">
        <v>97282</v>
      </c>
      <c r="G117" t="s">
        <v>458</v>
      </c>
      <c r="H117" t="s">
        <v>196</v>
      </c>
      <c r="I117">
        <v>9</v>
      </c>
      <c r="J117" t="s">
        <v>459</v>
      </c>
      <c r="K117" t="s">
        <v>445</v>
      </c>
    </row>
    <row r="118" spans="1:11" x14ac:dyDescent="0.35">
      <c r="A118" t="s">
        <v>445</v>
      </c>
      <c r="B118" t="s">
        <v>445</v>
      </c>
      <c r="C118" t="s">
        <v>378</v>
      </c>
      <c r="D118" t="s">
        <v>460</v>
      </c>
      <c r="E118" t="s">
        <v>461</v>
      </c>
      <c r="F118">
        <v>145153</v>
      </c>
      <c r="G118" t="s">
        <v>462</v>
      </c>
      <c r="H118" t="s">
        <v>196</v>
      </c>
      <c r="I118">
        <v>9</v>
      </c>
      <c r="J118" t="s">
        <v>463</v>
      </c>
      <c r="K118" t="s">
        <v>445</v>
      </c>
    </row>
    <row r="119" spans="1:11" x14ac:dyDescent="0.35">
      <c r="A119" t="s">
        <v>445</v>
      </c>
      <c r="B119" t="s">
        <v>445</v>
      </c>
      <c r="C119" t="s">
        <v>378</v>
      </c>
      <c r="D119" t="s">
        <v>424</v>
      </c>
      <c r="E119" t="s">
        <v>425</v>
      </c>
      <c r="F119">
        <v>124960</v>
      </c>
      <c r="G119" t="s">
        <v>464</v>
      </c>
      <c r="H119" t="s">
        <v>196</v>
      </c>
      <c r="I119">
        <v>5</v>
      </c>
      <c r="K119" t="s">
        <v>445</v>
      </c>
    </row>
    <row r="120" spans="1:11" x14ac:dyDescent="0.35">
      <c r="A120" t="s">
        <v>445</v>
      </c>
      <c r="B120" t="s">
        <v>445</v>
      </c>
      <c r="C120" t="s">
        <v>378</v>
      </c>
      <c r="D120" t="s">
        <v>401</v>
      </c>
      <c r="E120" t="s">
        <v>402</v>
      </c>
      <c r="F120">
        <v>67043</v>
      </c>
      <c r="G120" t="s">
        <v>465</v>
      </c>
      <c r="H120" t="s">
        <v>196</v>
      </c>
      <c r="I120">
        <v>10</v>
      </c>
      <c r="J120" t="s">
        <v>466</v>
      </c>
      <c r="K120" t="s">
        <v>445</v>
      </c>
    </row>
    <row r="121" spans="1:11" x14ac:dyDescent="0.35">
      <c r="A121" t="s">
        <v>445</v>
      </c>
      <c r="B121" t="s">
        <v>445</v>
      </c>
      <c r="C121" t="s">
        <v>378</v>
      </c>
      <c r="D121" t="s">
        <v>409</v>
      </c>
      <c r="E121" t="s">
        <v>410</v>
      </c>
      <c r="F121">
        <v>155584</v>
      </c>
      <c r="G121" t="s">
        <v>467</v>
      </c>
      <c r="H121" t="s">
        <v>196</v>
      </c>
      <c r="I121">
        <v>7</v>
      </c>
      <c r="J121" t="s">
        <v>468</v>
      </c>
      <c r="K121" t="s">
        <v>445</v>
      </c>
    </row>
    <row r="122" spans="1:11" x14ac:dyDescent="0.35">
      <c r="A122" t="s">
        <v>469</v>
      </c>
      <c r="B122" t="s">
        <v>469</v>
      </c>
      <c r="C122" t="s">
        <v>470</v>
      </c>
      <c r="D122" t="s">
        <v>471</v>
      </c>
      <c r="E122" t="s">
        <v>472</v>
      </c>
      <c r="F122">
        <v>186317</v>
      </c>
      <c r="G122" t="s">
        <v>473</v>
      </c>
      <c r="H122" t="s">
        <v>196</v>
      </c>
      <c r="I122">
        <v>30</v>
      </c>
      <c r="J122" t="s">
        <v>474</v>
      </c>
      <c r="K122" t="s">
        <v>469</v>
      </c>
    </row>
    <row r="123" spans="1:11" x14ac:dyDescent="0.35">
      <c r="A123" t="s">
        <v>469</v>
      </c>
      <c r="B123" t="s">
        <v>469</v>
      </c>
      <c r="C123" t="s">
        <v>470</v>
      </c>
      <c r="D123" t="s">
        <v>475</v>
      </c>
      <c r="E123" t="s">
        <v>476</v>
      </c>
      <c r="F123">
        <v>168609</v>
      </c>
      <c r="G123" t="s">
        <v>477</v>
      </c>
      <c r="H123" t="s">
        <v>196</v>
      </c>
      <c r="I123">
        <v>11</v>
      </c>
      <c r="J123" t="s">
        <v>478</v>
      </c>
      <c r="K123" t="s">
        <v>469</v>
      </c>
    </row>
    <row r="124" spans="1:11" x14ac:dyDescent="0.35">
      <c r="A124" t="s">
        <v>469</v>
      </c>
      <c r="B124" t="s">
        <v>469</v>
      </c>
      <c r="C124" t="s">
        <v>470</v>
      </c>
      <c r="D124" t="s">
        <v>479</v>
      </c>
      <c r="E124" t="s">
        <v>480</v>
      </c>
      <c r="F124">
        <v>228480</v>
      </c>
      <c r="G124" t="s">
        <v>481</v>
      </c>
      <c r="H124" t="s">
        <v>196</v>
      </c>
      <c r="I124">
        <v>10</v>
      </c>
      <c r="J124" t="s">
        <v>482</v>
      </c>
      <c r="K124" t="s">
        <v>469</v>
      </c>
    </row>
    <row r="125" spans="1:11" x14ac:dyDescent="0.35">
      <c r="A125" t="s">
        <v>469</v>
      </c>
      <c r="B125" t="s">
        <v>469</v>
      </c>
      <c r="C125" t="s">
        <v>470</v>
      </c>
      <c r="D125" t="s">
        <v>483</v>
      </c>
      <c r="E125" t="s">
        <v>484</v>
      </c>
      <c r="F125">
        <v>26.66</v>
      </c>
      <c r="G125" t="s">
        <v>485</v>
      </c>
      <c r="H125" t="s">
        <v>43</v>
      </c>
      <c r="I125">
        <v>5</v>
      </c>
      <c r="K125" t="s">
        <v>469</v>
      </c>
    </row>
    <row r="126" spans="1:11" x14ac:dyDescent="0.35">
      <c r="A126" t="s">
        <v>469</v>
      </c>
      <c r="B126" t="s">
        <v>469</v>
      </c>
      <c r="C126" t="s">
        <v>486</v>
      </c>
      <c r="D126" t="s">
        <v>487</v>
      </c>
      <c r="E126" t="s">
        <v>488</v>
      </c>
      <c r="F126">
        <v>48.54</v>
      </c>
      <c r="G126" t="s">
        <v>489</v>
      </c>
      <c r="H126" t="s">
        <v>43</v>
      </c>
      <c r="I126">
        <v>24</v>
      </c>
      <c r="J126" t="s">
        <v>490</v>
      </c>
      <c r="K126" t="s">
        <v>469</v>
      </c>
    </row>
    <row r="127" spans="1:11" x14ac:dyDescent="0.35">
      <c r="A127" t="s">
        <v>469</v>
      </c>
      <c r="B127" t="s">
        <v>469</v>
      </c>
      <c r="C127" t="s">
        <v>486</v>
      </c>
      <c r="D127" t="s">
        <v>491</v>
      </c>
      <c r="E127" t="s">
        <v>492</v>
      </c>
      <c r="F127">
        <v>57.48</v>
      </c>
      <c r="G127" t="s">
        <v>493</v>
      </c>
      <c r="H127" t="s">
        <v>43</v>
      </c>
      <c r="I127">
        <v>9</v>
      </c>
      <c r="J127" t="s">
        <v>494</v>
      </c>
      <c r="K127" t="s">
        <v>469</v>
      </c>
    </row>
    <row r="128" spans="1:11" x14ac:dyDescent="0.35">
      <c r="A128" t="s">
        <v>469</v>
      </c>
      <c r="B128" t="s">
        <v>469</v>
      </c>
      <c r="C128" t="s">
        <v>486</v>
      </c>
      <c r="D128" t="s">
        <v>495</v>
      </c>
      <c r="E128" t="s">
        <v>496</v>
      </c>
      <c r="F128">
        <v>34.65</v>
      </c>
      <c r="G128" t="s">
        <v>497</v>
      </c>
      <c r="H128" t="s">
        <v>43</v>
      </c>
      <c r="I128">
        <v>1</v>
      </c>
      <c r="K128" t="s">
        <v>469</v>
      </c>
    </row>
    <row r="129" spans="1:11" x14ac:dyDescent="0.35">
      <c r="A129" t="s">
        <v>469</v>
      </c>
      <c r="B129" t="s">
        <v>469</v>
      </c>
      <c r="C129" t="s">
        <v>486</v>
      </c>
      <c r="D129" t="s">
        <v>498</v>
      </c>
      <c r="E129" t="s">
        <v>499</v>
      </c>
      <c r="F129">
        <v>201224</v>
      </c>
      <c r="G129" t="s">
        <v>500</v>
      </c>
      <c r="H129" t="s">
        <v>196</v>
      </c>
      <c r="I129">
        <v>1</v>
      </c>
      <c r="K129" t="s">
        <v>469</v>
      </c>
    </row>
    <row r="130" spans="1:11" x14ac:dyDescent="0.35">
      <c r="A130" t="s">
        <v>469</v>
      </c>
      <c r="B130" t="s">
        <v>469</v>
      </c>
      <c r="C130" t="s">
        <v>486</v>
      </c>
      <c r="D130" t="s">
        <v>501</v>
      </c>
      <c r="E130" t="s">
        <v>502</v>
      </c>
      <c r="F130">
        <v>41</v>
      </c>
      <c r="G130" t="s">
        <v>503</v>
      </c>
      <c r="H130" t="s">
        <v>43</v>
      </c>
      <c r="I130">
        <v>1</v>
      </c>
      <c r="K130" t="s">
        <v>469</v>
      </c>
    </row>
    <row r="131" spans="1:11" x14ac:dyDescent="0.35">
      <c r="A131" t="s">
        <v>469</v>
      </c>
      <c r="B131" t="s">
        <v>469</v>
      </c>
      <c r="C131" t="s">
        <v>504</v>
      </c>
      <c r="D131" t="s">
        <v>505</v>
      </c>
      <c r="E131" t="s">
        <v>506</v>
      </c>
      <c r="F131">
        <v>126647</v>
      </c>
      <c r="G131" t="s">
        <v>507</v>
      </c>
      <c r="H131" t="s">
        <v>196</v>
      </c>
      <c r="I131">
        <v>20</v>
      </c>
      <c r="J131" t="s">
        <v>508</v>
      </c>
      <c r="K131" t="s">
        <v>469</v>
      </c>
    </row>
    <row r="132" spans="1:11" x14ac:dyDescent="0.35">
      <c r="A132" t="s">
        <v>509</v>
      </c>
      <c r="B132" t="s">
        <v>509</v>
      </c>
      <c r="C132" t="s">
        <v>486</v>
      </c>
      <c r="D132" t="s">
        <v>501</v>
      </c>
      <c r="E132" t="s">
        <v>502</v>
      </c>
      <c r="F132">
        <v>94193</v>
      </c>
      <c r="G132" t="s">
        <v>510</v>
      </c>
      <c r="H132" t="s">
        <v>196</v>
      </c>
      <c r="I132">
        <v>6</v>
      </c>
      <c r="J132" t="s">
        <v>511</v>
      </c>
      <c r="K132" t="s">
        <v>509</v>
      </c>
    </row>
    <row r="133" spans="1:11" x14ac:dyDescent="0.35">
      <c r="A133" t="s">
        <v>509</v>
      </c>
      <c r="B133" t="s">
        <v>509</v>
      </c>
      <c r="C133" t="s">
        <v>486</v>
      </c>
      <c r="D133" t="s">
        <v>512</v>
      </c>
      <c r="E133" t="s">
        <v>513</v>
      </c>
      <c r="F133">
        <v>123559</v>
      </c>
      <c r="G133" t="s">
        <v>514</v>
      </c>
      <c r="H133" t="s">
        <v>196</v>
      </c>
      <c r="I133">
        <v>7</v>
      </c>
      <c r="J133" t="s">
        <v>515</v>
      </c>
      <c r="K133" t="s">
        <v>509</v>
      </c>
    </row>
    <row r="134" spans="1:11" x14ac:dyDescent="0.35">
      <c r="A134" t="s">
        <v>509</v>
      </c>
      <c r="B134" t="s">
        <v>509</v>
      </c>
      <c r="C134" t="s">
        <v>486</v>
      </c>
      <c r="D134" t="s">
        <v>516</v>
      </c>
      <c r="E134" t="s">
        <v>517</v>
      </c>
      <c r="F134">
        <v>19.86</v>
      </c>
      <c r="G134" t="s">
        <v>518</v>
      </c>
      <c r="H134" t="s">
        <v>43</v>
      </c>
      <c r="I134">
        <v>8</v>
      </c>
      <c r="J134" t="s">
        <v>519</v>
      </c>
      <c r="K134" t="s">
        <v>509</v>
      </c>
    </row>
    <row r="135" spans="1:11" x14ac:dyDescent="0.35">
      <c r="A135" t="s">
        <v>509</v>
      </c>
      <c r="B135" t="s">
        <v>509</v>
      </c>
      <c r="C135" t="s">
        <v>486</v>
      </c>
      <c r="D135" t="s">
        <v>520</v>
      </c>
      <c r="E135" t="s">
        <v>521</v>
      </c>
      <c r="F135">
        <v>121334</v>
      </c>
      <c r="G135" t="s">
        <v>522</v>
      </c>
      <c r="H135" t="s">
        <v>196</v>
      </c>
      <c r="I135">
        <v>3</v>
      </c>
      <c r="K135" t="s">
        <v>509</v>
      </c>
    </row>
    <row r="136" spans="1:11" x14ac:dyDescent="0.35">
      <c r="A136" t="s">
        <v>509</v>
      </c>
      <c r="B136" t="s">
        <v>509</v>
      </c>
      <c r="C136" t="s">
        <v>486</v>
      </c>
      <c r="D136" t="s">
        <v>523</v>
      </c>
      <c r="E136" t="s">
        <v>524</v>
      </c>
      <c r="F136">
        <v>29.85</v>
      </c>
      <c r="G136" t="s">
        <v>525</v>
      </c>
      <c r="H136" t="s">
        <v>43</v>
      </c>
      <c r="I136">
        <v>1</v>
      </c>
      <c r="K136" t="s">
        <v>509</v>
      </c>
    </row>
    <row r="137" spans="1:11" x14ac:dyDescent="0.35">
      <c r="A137" t="s">
        <v>509</v>
      </c>
      <c r="B137" t="s">
        <v>509</v>
      </c>
      <c r="C137" t="s">
        <v>486</v>
      </c>
      <c r="D137" t="s">
        <v>526</v>
      </c>
      <c r="E137" t="s">
        <v>527</v>
      </c>
      <c r="F137">
        <v>57.93</v>
      </c>
      <c r="G137" t="s">
        <v>528</v>
      </c>
      <c r="H137" t="s">
        <v>43</v>
      </c>
      <c r="I137">
        <v>1</v>
      </c>
      <c r="K137" t="s">
        <v>509</v>
      </c>
    </row>
    <row r="138" spans="1:11" x14ac:dyDescent="0.35">
      <c r="A138" t="s">
        <v>509</v>
      </c>
      <c r="B138" t="s">
        <v>509</v>
      </c>
      <c r="C138" t="s">
        <v>529</v>
      </c>
      <c r="D138" t="s">
        <v>530</v>
      </c>
      <c r="E138" t="s">
        <v>531</v>
      </c>
      <c r="F138">
        <v>78684</v>
      </c>
      <c r="G138" t="s">
        <v>532</v>
      </c>
      <c r="H138" t="s">
        <v>196</v>
      </c>
      <c r="I138">
        <v>9</v>
      </c>
      <c r="J138" t="s">
        <v>533</v>
      </c>
      <c r="K138" t="s">
        <v>509</v>
      </c>
    </row>
    <row r="139" spans="1:11" x14ac:dyDescent="0.35">
      <c r="A139" t="s">
        <v>509</v>
      </c>
      <c r="B139" t="s">
        <v>509</v>
      </c>
      <c r="C139" t="s">
        <v>529</v>
      </c>
      <c r="D139" t="s">
        <v>534</v>
      </c>
      <c r="E139" t="s">
        <v>535</v>
      </c>
      <c r="F139">
        <v>108362</v>
      </c>
      <c r="G139" t="s">
        <v>536</v>
      </c>
      <c r="H139" t="s">
        <v>196</v>
      </c>
      <c r="I139">
        <v>3</v>
      </c>
      <c r="K139" t="s">
        <v>509</v>
      </c>
    </row>
    <row r="140" spans="1:11" x14ac:dyDescent="0.35">
      <c r="A140" t="s">
        <v>509</v>
      </c>
      <c r="B140" t="s">
        <v>509</v>
      </c>
      <c r="C140" t="s">
        <v>529</v>
      </c>
      <c r="D140" t="s">
        <v>537</v>
      </c>
      <c r="E140" t="s">
        <v>538</v>
      </c>
      <c r="F140">
        <v>272049</v>
      </c>
      <c r="G140" t="s">
        <v>539</v>
      </c>
      <c r="H140" t="s">
        <v>196</v>
      </c>
      <c r="I140">
        <v>4</v>
      </c>
      <c r="K140" t="s">
        <v>509</v>
      </c>
    </row>
    <row r="141" spans="1:11" x14ac:dyDescent="0.35">
      <c r="A141" t="s">
        <v>509</v>
      </c>
      <c r="B141" t="s">
        <v>509</v>
      </c>
      <c r="C141" t="s">
        <v>529</v>
      </c>
      <c r="D141" t="s">
        <v>540</v>
      </c>
      <c r="E141" t="s">
        <v>541</v>
      </c>
      <c r="F141">
        <v>269508</v>
      </c>
      <c r="G141" t="s">
        <v>542</v>
      </c>
      <c r="H141" t="s">
        <v>196</v>
      </c>
      <c r="I141">
        <v>3</v>
      </c>
      <c r="K141" t="s">
        <v>509</v>
      </c>
    </row>
    <row r="142" spans="1:11" x14ac:dyDescent="0.35">
      <c r="A142" t="s">
        <v>543</v>
      </c>
      <c r="B142" t="s">
        <v>543</v>
      </c>
      <c r="C142" t="s">
        <v>544</v>
      </c>
      <c r="D142" t="s">
        <v>545</v>
      </c>
      <c r="E142" t="s">
        <v>546</v>
      </c>
      <c r="F142">
        <v>144614</v>
      </c>
      <c r="G142" t="s">
        <v>547</v>
      </c>
      <c r="H142" t="s">
        <v>196</v>
      </c>
      <c r="I142">
        <v>30</v>
      </c>
      <c r="J142" t="s">
        <v>548</v>
      </c>
      <c r="K142" t="s">
        <v>543</v>
      </c>
    </row>
    <row r="143" spans="1:11" x14ac:dyDescent="0.35">
      <c r="A143" t="s">
        <v>543</v>
      </c>
      <c r="B143" t="s">
        <v>543</v>
      </c>
      <c r="C143" t="s">
        <v>544</v>
      </c>
      <c r="D143" t="s">
        <v>549</v>
      </c>
      <c r="E143" t="s">
        <v>550</v>
      </c>
      <c r="F143">
        <v>140062</v>
      </c>
      <c r="G143" t="s">
        <v>551</v>
      </c>
      <c r="H143" t="s">
        <v>196</v>
      </c>
      <c r="I143">
        <v>12</v>
      </c>
      <c r="J143" t="s">
        <v>552</v>
      </c>
      <c r="K143" t="s">
        <v>543</v>
      </c>
    </row>
    <row r="144" spans="1:11" x14ac:dyDescent="0.35">
      <c r="A144" t="s">
        <v>543</v>
      </c>
      <c r="B144" t="s">
        <v>543</v>
      </c>
      <c r="C144" t="s">
        <v>544</v>
      </c>
      <c r="D144" t="s">
        <v>553</v>
      </c>
      <c r="E144" t="s">
        <v>554</v>
      </c>
      <c r="F144">
        <v>182045</v>
      </c>
      <c r="G144" t="s">
        <v>555</v>
      </c>
      <c r="H144" t="s">
        <v>196</v>
      </c>
      <c r="I144">
        <v>38</v>
      </c>
      <c r="J144" t="s">
        <v>556</v>
      </c>
      <c r="K144" t="s">
        <v>543</v>
      </c>
    </row>
    <row r="145" spans="1:11" x14ac:dyDescent="0.35">
      <c r="A145" t="s">
        <v>543</v>
      </c>
      <c r="B145" t="s">
        <v>543</v>
      </c>
      <c r="C145" t="s">
        <v>544</v>
      </c>
      <c r="D145" t="s">
        <v>557</v>
      </c>
      <c r="E145" t="s">
        <v>558</v>
      </c>
      <c r="F145">
        <v>49.07</v>
      </c>
      <c r="G145" t="s">
        <v>559</v>
      </c>
      <c r="H145" t="s">
        <v>43</v>
      </c>
      <c r="I145">
        <v>14</v>
      </c>
      <c r="J145" t="s">
        <v>560</v>
      </c>
      <c r="K145" t="s">
        <v>543</v>
      </c>
    </row>
    <row r="146" spans="1:11" x14ac:dyDescent="0.35">
      <c r="A146" t="s">
        <v>543</v>
      </c>
      <c r="B146" t="s">
        <v>543</v>
      </c>
      <c r="C146" t="s">
        <v>544</v>
      </c>
      <c r="D146" t="s">
        <v>561</v>
      </c>
      <c r="E146" t="s">
        <v>562</v>
      </c>
      <c r="F146">
        <v>114333</v>
      </c>
      <c r="G146" t="s">
        <v>563</v>
      </c>
      <c r="H146" t="s">
        <v>196</v>
      </c>
      <c r="I146">
        <v>5</v>
      </c>
      <c r="K146" t="s">
        <v>543</v>
      </c>
    </row>
    <row r="147" spans="1:11" x14ac:dyDescent="0.35">
      <c r="A147" t="s">
        <v>543</v>
      </c>
      <c r="B147" t="s">
        <v>543</v>
      </c>
      <c r="C147" t="s">
        <v>544</v>
      </c>
      <c r="D147" t="s">
        <v>564</v>
      </c>
      <c r="E147" t="s">
        <v>565</v>
      </c>
      <c r="F147">
        <v>123785</v>
      </c>
      <c r="G147" t="s">
        <v>566</v>
      </c>
      <c r="H147" t="s">
        <v>196</v>
      </c>
      <c r="I147">
        <v>5</v>
      </c>
      <c r="K147" t="s">
        <v>543</v>
      </c>
    </row>
    <row r="148" spans="1:11" x14ac:dyDescent="0.35">
      <c r="A148" t="s">
        <v>543</v>
      </c>
      <c r="B148" t="s">
        <v>543</v>
      </c>
      <c r="C148" t="s">
        <v>544</v>
      </c>
      <c r="D148" t="s">
        <v>567</v>
      </c>
      <c r="E148" t="s">
        <v>568</v>
      </c>
      <c r="F148">
        <v>226707</v>
      </c>
      <c r="G148" t="s">
        <v>569</v>
      </c>
      <c r="H148" t="s">
        <v>196</v>
      </c>
      <c r="I148">
        <v>6</v>
      </c>
      <c r="J148" t="s">
        <v>570</v>
      </c>
      <c r="K148" t="s">
        <v>543</v>
      </c>
    </row>
    <row r="149" spans="1:11" x14ac:dyDescent="0.35">
      <c r="A149" t="s">
        <v>543</v>
      </c>
      <c r="B149" t="s">
        <v>543</v>
      </c>
      <c r="C149" t="s">
        <v>544</v>
      </c>
      <c r="D149" t="s">
        <v>571</v>
      </c>
      <c r="E149" t="s">
        <v>572</v>
      </c>
      <c r="F149">
        <v>179918</v>
      </c>
      <c r="G149" t="s">
        <v>573</v>
      </c>
      <c r="H149" t="s">
        <v>196</v>
      </c>
      <c r="I149">
        <v>5</v>
      </c>
      <c r="K149" t="s">
        <v>543</v>
      </c>
    </row>
    <row r="150" spans="1:11" x14ac:dyDescent="0.35">
      <c r="A150" t="s">
        <v>543</v>
      </c>
      <c r="B150" t="s">
        <v>543</v>
      </c>
      <c r="C150" t="s">
        <v>544</v>
      </c>
      <c r="D150" t="s">
        <v>574</v>
      </c>
      <c r="E150" t="s">
        <v>575</v>
      </c>
      <c r="F150">
        <v>152904</v>
      </c>
      <c r="G150" t="s">
        <v>576</v>
      </c>
      <c r="H150" t="s">
        <v>196</v>
      </c>
      <c r="I150">
        <v>11</v>
      </c>
      <c r="J150" t="s">
        <v>577</v>
      </c>
      <c r="K150" t="s">
        <v>543</v>
      </c>
    </row>
    <row r="151" spans="1:11" x14ac:dyDescent="0.35">
      <c r="A151" t="s">
        <v>543</v>
      </c>
      <c r="B151" t="s">
        <v>543</v>
      </c>
      <c r="C151" t="s">
        <v>544</v>
      </c>
      <c r="D151" t="s">
        <v>578</v>
      </c>
      <c r="E151" t="s">
        <v>579</v>
      </c>
      <c r="F151">
        <v>153537</v>
      </c>
      <c r="G151" t="s">
        <v>580</v>
      </c>
      <c r="H151" t="s">
        <v>196</v>
      </c>
      <c r="I151">
        <v>7</v>
      </c>
      <c r="J151" t="s">
        <v>581</v>
      </c>
      <c r="K151" t="s">
        <v>543</v>
      </c>
    </row>
    <row r="152" spans="1:11" x14ac:dyDescent="0.35">
      <c r="A152" t="s">
        <v>582</v>
      </c>
      <c r="B152" t="s">
        <v>583</v>
      </c>
      <c r="C152" t="s">
        <v>544</v>
      </c>
      <c r="D152" t="s">
        <v>545</v>
      </c>
      <c r="E152" t="s">
        <v>546</v>
      </c>
      <c r="F152">
        <v>102813</v>
      </c>
      <c r="G152" t="s">
        <v>584</v>
      </c>
      <c r="H152" t="s">
        <v>196</v>
      </c>
      <c r="I152">
        <v>21</v>
      </c>
      <c r="J152" t="s">
        <v>585</v>
      </c>
      <c r="K152" t="s">
        <v>582</v>
      </c>
    </row>
    <row r="153" spans="1:11" x14ac:dyDescent="0.35">
      <c r="A153" t="s">
        <v>582</v>
      </c>
      <c r="B153" t="s">
        <v>583</v>
      </c>
      <c r="C153" t="s">
        <v>544</v>
      </c>
      <c r="D153" t="s">
        <v>553</v>
      </c>
      <c r="E153" t="s">
        <v>554</v>
      </c>
      <c r="F153">
        <v>126602</v>
      </c>
      <c r="G153" t="s">
        <v>586</v>
      </c>
      <c r="H153" t="s">
        <v>196</v>
      </c>
      <c r="I153">
        <v>29</v>
      </c>
      <c r="J153" t="s">
        <v>587</v>
      </c>
      <c r="K153" t="s">
        <v>582</v>
      </c>
    </row>
    <row r="154" spans="1:11" x14ac:dyDescent="0.35">
      <c r="A154" t="s">
        <v>582</v>
      </c>
      <c r="B154" t="s">
        <v>583</v>
      </c>
      <c r="C154" t="s">
        <v>544</v>
      </c>
      <c r="D154" t="s">
        <v>588</v>
      </c>
      <c r="E154" t="s">
        <v>589</v>
      </c>
      <c r="F154">
        <v>118317</v>
      </c>
      <c r="G154" t="s">
        <v>590</v>
      </c>
      <c r="H154" t="s">
        <v>196</v>
      </c>
      <c r="I154">
        <v>5</v>
      </c>
      <c r="K154" t="s">
        <v>582</v>
      </c>
    </row>
    <row r="155" spans="1:11" x14ac:dyDescent="0.35">
      <c r="A155" t="s">
        <v>582</v>
      </c>
      <c r="B155" t="s">
        <v>583</v>
      </c>
      <c r="C155" t="s">
        <v>544</v>
      </c>
      <c r="D155" t="s">
        <v>564</v>
      </c>
      <c r="E155" t="s">
        <v>565</v>
      </c>
      <c r="F155">
        <v>126320</v>
      </c>
      <c r="G155" t="s">
        <v>591</v>
      </c>
      <c r="H155" t="s">
        <v>196</v>
      </c>
      <c r="I155">
        <v>8</v>
      </c>
      <c r="J155" t="s">
        <v>592</v>
      </c>
      <c r="K155" t="s">
        <v>582</v>
      </c>
    </row>
    <row r="156" spans="1:11" x14ac:dyDescent="0.35">
      <c r="A156" t="s">
        <v>582</v>
      </c>
      <c r="B156" t="s">
        <v>583</v>
      </c>
      <c r="C156" t="s">
        <v>544</v>
      </c>
      <c r="D156" t="s">
        <v>561</v>
      </c>
      <c r="E156" t="s">
        <v>562</v>
      </c>
      <c r="F156">
        <v>112283</v>
      </c>
      <c r="G156" t="s">
        <v>593</v>
      </c>
      <c r="H156" t="s">
        <v>196</v>
      </c>
      <c r="I156">
        <v>16</v>
      </c>
      <c r="J156" t="s">
        <v>594</v>
      </c>
      <c r="K156" t="s">
        <v>582</v>
      </c>
    </row>
    <row r="157" spans="1:11" x14ac:dyDescent="0.35">
      <c r="A157" t="s">
        <v>582</v>
      </c>
      <c r="B157" t="s">
        <v>583</v>
      </c>
      <c r="C157" t="s">
        <v>544</v>
      </c>
      <c r="D157" t="s">
        <v>595</v>
      </c>
      <c r="E157" t="s">
        <v>596</v>
      </c>
      <c r="F157">
        <v>124726</v>
      </c>
      <c r="G157" t="s">
        <v>597</v>
      </c>
      <c r="H157" t="s">
        <v>196</v>
      </c>
      <c r="I157">
        <v>8</v>
      </c>
      <c r="J157" t="s">
        <v>598</v>
      </c>
      <c r="K157" t="s">
        <v>582</v>
      </c>
    </row>
    <row r="158" spans="1:11" x14ac:dyDescent="0.35">
      <c r="A158" t="s">
        <v>582</v>
      </c>
      <c r="B158" t="s">
        <v>583</v>
      </c>
      <c r="C158" t="s">
        <v>544</v>
      </c>
      <c r="D158" t="s">
        <v>557</v>
      </c>
      <c r="E158" t="s">
        <v>558</v>
      </c>
      <c r="F158">
        <v>37.270000000000003</v>
      </c>
      <c r="G158" t="s">
        <v>599</v>
      </c>
      <c r="H158" t="s">
        <v>43</v>
      </c>
      <c r="I158">
        <v>5</v>
      </c>
      <c r="K158" t="s">
        <v>582</v>
      </c>
    </row>
    <row r="159" spans="1:11" x14ac:dyDescent="0.35">
      <c r="A159" t="s">
        <v>582</v>
      </c>
      <c r="B159" t="s">
        <v>583</v>
      </c>
      <c r="C159" t="s">
        <v>544</v>
      </c>
      <c r="D159" t="s">
        <v>600</v>
      </c>
      <c r="E159" t="s">
        <v>601</v>
      </c>
      <c r="F159">
        <v>139919</v>
      </c>
      <c r="G159" t="s">
        <v>602</v>
      </c>
      <c r="H159" t="s">
        <v>196</v>
      </c>
      <c r="I159">
        <v>5</v>
      </c>
      <c r="K159" t="s">
        <v>582</v>
      </c>
    </row>
    <row r="160" spans="1:11" x14ac:dyDescent="0.35">
      <c r="A160" t="s">
        <v>582</v>
      </c>
      <c r="B160" t="s">
        <v>583</v>
      </c>
      <c r="C160" t="s">
        <v>544</v>
      </c>
      <c r="D160" t="s">
        <v>603</v>
      </c>
      <c r="E160" t="s">
        <v>604</v>
      </c>
      <c r="F160">
        <v>86408</v>
      </c>
      <c r="G160" t="s">
        <v>605</v>
      </c>
      <c r="H160" t="s">
        <v>196</v>
      </c>
      <c r="I160">
        <v>13</v>
      </c>
      <c r="J160" t="s">
        <v>606</v>
      </c>
      <c r="K160" t="s">
        <v>582</v>
      </c>
    </row>
    <row r="161" spans="1:11" x14ac:dyDescent="0.35">
      <c r="A161" t="s">
        <v>582</v>
      </c>
      <c r="B161" t="s">
        <v>583</v>
      </c>
      <c r="C161" t="s">
        <v>544</v>
      </c>
      <c r="D161" t="s">
        <v>607</v>
      </c>
      <c r="E161" t="s">
        <v>608</v>
      </c>
      <c r="F161">
        <v>141232</v>
      </c>
      <c r="G161" t="s">
        <v>609</v>
      </c>
      <c r="H161" t="s">
        <v>196</v>
      </c>
      <c r="I161">
        <v>9</v>
      </c>
      <c r="J161" t="s">
        <v>610</v>
      </c>
      <c r="K161" t="s">
        <v>582</v>
      </c>
    </row>
    <row r="162" spans="1:11" x14ac:dyDescent="0.35">
      <c r="A162" t="s">
        <v>611</v>
      </c>
      <c r="B162" t="s">
        <v>612</v>
      </c>
      <c r="C162" t="s">
        <v>544</v>
      </c>
      <c r="D162" t="s">
        <v>545</v>
      </c>
      <c r="E162" t="s">
        <v>546</v>
      </c>
      <c r="F162">
        <v>119723</v>
      </c>
      <c r="G162" t="s">
        <v>613</v>
      </c>
      <c r="H162" t="s">
        <v>196</v>
      </c>
      <c r="I162">
        <v>67</v>
      </c>
      <c r="J162" t="s">
        <v>614</v>
      </c>
      <c r="K162" t="s">
        <v>611</v>
      </c>
    </row>
    <row r="163" spans="1:11" x14ac:dyDescent="0.35">
      <c r="A163" t="s">
        <v>611</v>
      </c>
      <c r="B163" t="s">
        <v>612</v>
      </c>
      <c r="C163" t="s">
        <v>544</v>
      </c>
      <c r="D163" t="s">
        <v>553</v>
      </c>
      <c r="E163" t="s">
        <v>554</v>
      </c>
      <c r="F163">
        <v>123758</v>
      </c>
      <c r="G163" t="s">
        <v>615</v>
      </c>
      <c r="H163" t="s">
        <v>196</v>
      </c>
      <c r="I163">
        <v>18</v>
      </c>
      <c r="J163" t="s">
        <v>616</v>
      </c>
      <c r="K163" t="s">
        <v>611</v>
      </c>
    </row>
    <row r="164" spans="1:11" x14ac:dyDescent="0.35">
      <c r="A164" t="s">
        <v>611</v>
      </c>
      <c r="B164" t="s">
        <v>612</v>
      </c>
      <c r="C164" t="s">
        <v>544</v>
      </c>
      <c r="D164" t="s">
        <v>564</v>
      </c>
      <c r="E164" t="s">
        <v>565</v>
      </c>
      <c r="F164">
        <v>129301</v>
      </c>
      <c r="G164" t="s">
        <v>617</v>
      </c>
      <c r="H164" t="s">
        <v>196</v>
      </c>
      <c r="I164">
        <v>9</v>
      </c>
      <c r="J164" t="s">
        <v>618</v>
      </c>
      <c r="K164" t="s">
        <v>611</v>
      </c>
    </row>
    <row r="165" spans="1:11" x14ac:dyDescent="0.35">
      <c r="A165" t="s">
        <v>611</v>
      </c>
      <c r="B165" t="s">
        <v>612</v>
      </c>
      <c r="C165" t="s">
        <v>544</v>
      </c>
      <c r="D165" t="s">
        <v>619</v>
      </c>
      <c r="E165" t="s">
        <v>620</v>
      </c>
      <c r="F165">
        <v>123985</v>
      </c>
      <c r="G165" t="s">
        <v>621</v>
      </c>
      <c r="H165" t="s">
        <v>196</v>
      </c>
      <c r="I165">
        <v>7</v>
      </c>
      <c r="J165" t="s">
        <v>622</v>
      </c>
      <c r="K165" t="s">
        <v>611</v>
      </c>
    </row>
    <row r="166" spans="1:11" x14ac:dyDescent="0.35">
      <c r="A166" t="s">
        <v>611</v>
      </c>
      <c r="B166" t="s">
        <v>612</v>
      </c>
      <c r="C166" t="s">
        <v>544</v>
      </c>
      <c r="D166" t="s">
        <v>578</v>
      </c>
      <c r="E166" t="s">
        <v>579</v>
      </c>
      <c r="F166">
        <v>152720</v>
      </c>
      <c r="G166" t="s">
        <v>623</v>
      </c>
      <c r="H166" t="s">
        <v>196</v>
      </c>
      <c r="I166">
        <v>7</v>
      </c>
      <c r="J166" t="s">
        <v>624</v>
      </c>
      <c r="K166" t="s">
        <v>611</v>
      </c>
    </row>
    <row r="167" spans="1:11" x14ac:dyDescent="0.35">
      <c r="A167" t="s">
        <v>611</v>
      </c>
      <c r="B167" t="s">
        <v>612</v>
      </c>
      <c r="C167" t="s">
        <v>544</v>
      </c>
      <c r="D167" t="s">
        <v>561</v>
      </c>
      <c r="E167" t="s">
        <v>562</v>
      </c>
      <c r="F167">
        <v>123703</v>
      </c>
      <c r="G167" t="s">
        <v>625</v>
      </c>
      <c r="H167" t="s">
        <v>196</v>
      </c>
      <c r="I167">
        <v>15</v>
      </c>
      <c r="J167" t="s">
        <v>626</v>
      </c>
      <c r="K167" t="s">
        <v>611</v>
      </c>
    </row>
    <row r="168" spans="1:11" x14ac:dyDescent="0.35">
      <c r="A168" t="s">
        <v>611</v>
      </c>
      <c r="B168" t="s">
        <v>612</v>
      </c>
      <c r="C168" t="s">
        <v>544</v>
      </c>
      <c r="D168" t="s">
        <v>627</v>
      </c>
      <c r="E168" t="s">
        <v>628</v>
      </c>
      <c r="F168">
        <v>186216</v>
      </c>
      <c r="G168" t="s">
        <v>629</v>
      </c>
      <c r="H168" t="s">
        <v>196</v>
      </c>
      <c r="I168">
        <v>5</v>
      </c>
      <c r="K168" t="s">
        <v>611</v>
      </c>
    </row>
    <row r="169" spans="1:11" x14ac:dyDescent="0.35">
      <c r="A169" t="s">
        <v>611</v>
      </c>
      <c r="B169" t="s">
        <v>612</v>
      </c>
      <c r="C169" t="s">
        <v>544</v>
      </c>
      <c r="D169" t="s">
        <v>588</v>
      </c>
      <c r="E169" t="s">
        <v>589</v>
      </c>
      <c r="F169">
        <v>111022</v>
      </c>
      <c r="G169" t="s">
        <v>630</v>
      </c>
      <c r="H169" t="s">
        <v>196</v>
      </c>
      <c r="I169">
        <v>19</v>
      </c>
      <c r="J169" t="s">
        <v>631</v>
      </c>
      <c r="K169" t="s">
        <v>611</v>
      </c>
    </row>
    <row r="170" spans="1:11" x14ac:dyDescent="0.35">
      <c r="A170" t="s">
        <v>611</v>
      </c>
      <c r="B170" t="s">
        <v>612</v>
      </c>
      <c r="C170" t="s">
        <v>544</v>
      </c>
      <c r="D170" t="s">
        <v>632</v>
      </c>
      <c r="E170" t="s">
        <v>633</v>
      </c>
      <c r="F170">
        <v>122756</v>
      </c>
      <c r="G170" t="s">
        <v>634</v>
      </c>
      <c r="H170" t="s">
        <v>196</v>
      </c>
      <c r="I170">
        <v>9</v>
      </c>
      <c r="J170" t="s">
        <v>635</v>
      </c>
      <c r="K170" t="s">
        <v>611</v>
      </c>
    </row>
    <row r="171" spans="1:11" x14ac:dyDescent="0.35">
      <c r="A171" t="s">
        <v>611</v>
      </c>
      <c r="B171" t="s">
        <v>612</v>
      </c>
      <c r="C171" t="s">
        <v>544</v>
      </c>
      <c r="D171" t="s">
        <v>557</v>
      </c>
      <c r="E171" t="s">
        <v>558</v>
      </c>
      <c r="F171">
        <v>48</v>
      </c>
      <c r="G171" t="s">
        <v>636</v>
      </c>
      <c r="H171" t="s">
        <v>43</v>
      </c>
      <c r="I171">
        <v>10</v>
      </c>
      <c r="J171" t="s">
        <v>637</v>
      </c>
      <c r="K171" t="s">
        <v>611</v>
      </c>
    </row>
    <row r="172" spans="1:11" x14ac:dyDescent="0.35">
      <c r="A172" t="s">
        <v>638</v>
      </c>
      <c r="B172" t="s">
        <v>639</v>
      </c>
      <c r="C172" t="s">
        <v>640</v>
      </c>
      <c r="D172" t="s">
        <v>641</v>
      </c>
      <c r="E172" t="s">
        <v>642</v>
      </c>
      <c r="F172">
        <v>26.99</v>
      </c>
      <c r="G172" t="s">
        <v>643</v>
      </c>
      <c r="H172" t="s">
        <v>43</v>
      </c>
      <c r="I172">
        <v>40</v>
      </c>
      <c r="J172" t="s">
        <v>644</v>
      </c>
      <c r="K172" t="s">
        <v>645</v>
      </c>
    </row>
    <row r="173" spans="1:11" x14ac:dyDescent="0.35">
      <c r="A173" t="s">
        <v>638</v>
      </c>
      <c r="B173" t="s">
        <v>639</v>
      </c>
      <c r="C173" t="s">
        <v>640</v>
      </c>
      <c r="D173" t="s">
        <v>646</v>
      </c>
      <c r="E173" t="s">
        <v>647</v>
      </c>
      <c r="F173">
        <v>25.03</v>
      </c>
      <c r="G173" t="s">
        <v>648</v>
      </c>
      <c r="H173" t="s">
        <v>43</v>
      </c>
      <c r="I173">
        <v>63</v>
      </c>
      <c r="J173" t="s">
        <v>649</v>
      </c>
      <c r="K173" t="s">
        <v>645</v>
      </c>
    </row>
    <row r="174" spans="1:11" x14ac:dyDescent="0.35">
      <c r="A174" t="s">
        <v>638</v>
      </c>
      <c r="B174" t="s">
        <v>639</v>
      </c>
      <c r="C174" t="s">
        <v>640</v>
      </c>
      <c r="D174" t="s">
        <v>650</v>
      </c>
      <c r="E174" t="s">
        <v>651</v>
      </c>
      <c r="F174">
        <v>27.81</v>
      </c>
      <c r="G174" t="s">
        <v>652</v>
      </c>
      <c r="H174" t="s">
        <v>43</v>
      </c>
      <c r="I174">
        <v>26</v>
      </c>
      <c r="J174" t="s">
        <v>653</v>
      </c>
      <c r="K174" t="s">
        <v>645</v>
      </c>
    </row>
    <row r="175" spans="1:11" x14ac:dyDescent="0.35">
      <c r="A175" t="s">
        <v>638</v>
      </c>
      <c r="B175" t="s">
        <v>639</v>
      </c>
      <c r="C175" t="s">
        <v>640</v>
      </c>
      <c r="D175" t="s">
        <v>654</v>
      </c>
      <c r="E175" t="s">
        <v>655</v>
      </c>
      <c r="F175">
        <v>21.11</v>
      </c>
      <c r="G175" t="s">
        <v>656</v>
      </c>
      <c r="H175" t="s">
        <v>43</v>
      </c>
      <c r="I175">
        <v>3</v>
      </c>
      <c r="K175" t="s">
        <v>645</v>
      </c>
    </row>
    <row r="176" spans="1:11" x14ac:dyDescent="0.35">
      <c r="A176" t="s">
        <v>638</v>
      </c>
      <c r="B176" t="s">
        <v>639</v>
      </c>
      <c r="C176" t="s">
        <v>640</v>
      </c>
      <c r="D176" t="s">
        <v>657</v>
      </c>
      <c r="E176" t="s">
        <v>658</v>
      </c>
      <c r="F176">
        <v>132247</v>
      </c>
      <c r="G176" t="s">
        <v>659</v>
      </c>
      <c r="H176" t="s">
        <v>196</v>
      </c>
      <c r="I176">
        <v>20</v>
      </c>
      <c r="J176" t="s">
        <v>660</v>
      </c>
      <c r="K176" t="s">
        <v>645</v>
      </c>
    </row>
    <row r="177" spans="1:11" x14ac:dyDescent="0.35">
      <c r="A177" t="s">
        <v>638</v>
      </c>
      <c r="B177" t="s">
        <v>639</v>
      </c>
      <c r="C177" t="s">
        <v>640</v>
      </c>
      <c r="D177" t="s">
        <v>661</v>
      </c>
      <c r="E177" t="s">
        <v>662</v>
      </c>
      <c r="F177">
        <v>20.28</v>
      </c>
      <c r="G177" t="s">
        <v>47</v>
      </c>
      <c r="H177" t="s">
        <v>43</v>
      </c>
      <c r="I177">
        <v>10</v>
      </c>
      <c r="J177" t="s">
        <v>663</v>
      </c>
      <c r="K177" t="s">
        <v>645</v>
      </c>
    </row>
    <row r="178" spans="1:11" x14ac:dyDescent="0.35">
      <c r="A178" t="s">
        <v>638</v>
      </c>
      <c r="B178" t="s">
        <v>639</v>
      </c>
      <c r="C178" t="s">
        <v>640</v>
      </c>
      <c r="D178" t="s">
        <v>664</v>
      </c>
      <c r="E178" t="s">
        <v>665</v>
      </c>
      <c r="F178">
        <v>75476</v>
      </c>
      <c r="G178" t="s">
        <v>666</v>
      </c>
      <c r="H178" t="s">
        <v>196</v>
      </c>
      <c r="I178">
        <v>8</v>
      </c>
      <c r="J178" t="s">
        <v>667</v>
      </c>
      <c r="K178" t="s">
        <v>645</v>
      </c>
    </row>
    <row r="179" spans="1:11" x14ac:dyDescent="0.35">
      <c r="A179" t="s">
        <v>638</v>
      </c>
      <c r="B179" t="s">
        <v>639</v>
      </c>
      <c r="C179" t="s">
        <v>640</v>
      </c>
      <c r="D179" t="s">
        <v>668</v>
      </c>
      <c r="E179" t="s">
        <v>669</v>
      </c>
      <c r="F179">
        <v>72930</v>
      </c>
      <c r="G179" t="s">
        <v>670</v>
      </c>
      <c r="H179" t="s">
        <v>196</v>
      </c>
      <c r="I179">
        <v>9</v>
      </c>
      <c r="J179" t="s">
        <v>671</v>
      </c>
      <c r="K179" t="s">
        <v>645</v>
      </c>
    </row>
    <row r="180" spans="1:11" x14ac:dyDescent="0.35">
      <c r="A180" t="s">
        <v>638</v>
      </c>
      <c r="B180" t="s">
        <v>639</v>
      </c>
      <c r="C180" t="s">
        <v>640</v>
      </c>
      <c r="D180" t="s">
        <v>672</v>
      </c>
      <c r="E180" t="s">
        <v>673</v>
      </c>
      <c r="F180">
        <v>60417</v>
      </c>
      <c r="G180" t="s">
        <v>674</v>
      </c>
      <c r="H180" t="s">
        <v>196</v>
      </c>
      <c r="I180">
        <v>20</v>
      </c>
      <c r="J180" t="s">
        <v>675</v>
      </c>
      <c r="K180" t="s">
        <v>645</v>
      </c>
    </row>
    <row r="181" spans="1:11" x14ac:dyDescent="0.35">
      <c r="A181" t="s">
        <v>638</v>
      </c>
      <c r="B181" t="s">
        <v>639</v>
      </c>
      <c r="C181" t="s">
        <v>640</v>
      </c>
      <c r="D181" t="s">
        <v>676</v>
      </c>
      <c r="E181" t="s">
        <v>677</v>
      </c>
      <c r="F181">
        <v>125400</v>
      </c>
      <c r="G181" t="s">
        <v>678</v>
      </c>
      <c r="H181" t="s">
        <v>196</v>
      </c>
      <c r="I181">
        <v>16</v>
      </c>
      <c r="J181" t="s">
        <v>679</v>
      </c>
      <c r="K181" t="s">
        <v>645</v>
      </c>
    </row>
    <row r="182" spans="1:11" x14ac:dyDescent="0.35">
      <c r="A182" t="s">
        <v>680</v>
      </c>
      <c r="B182" t="s">
        <v>680</v>
      </c>
      <c r="C182" t="s">
        <v>544</v>
      </c>
      <c r="D182" t="s">
        <v>681</v>
      </c>
      <c r="E182" t="s">
        <v>682</v>
      </c>
      <c r="F182">
        <v>154255</v>
      </c>
      <c r="G182" t="s">
        <v>683</v>
      </c>
      <c r="H182" t="s">
        <v>196</v>
      </c>
      <c r="I182">
        <v>57</v>
      </c>
      <c r="J182" t="s">
        <v>684</v>
      </c>
      <c r="K182" t="s">
        <v>680</v>
      </c>
    </row>
    <row r="183" spans="1:11" x14ac:dyDescent="0.35">
      <c r="A183" t="s">
        <v>680</v>
      </c>
      <c r="B183" t="s">
        <v>680</v>
      </c>
      <c r="C183" t="s">
        <v>544</v>
      </c>
      <c r="D183" t="s">
        <v>685</v>
      </c>
      <c r="E183" t="s">
        <v>686</v>
      </c>
      <c r="F183">
        <v>88527</v>
      </c>
      <c r="G183" t="s">
        <v>687</v>
      </c>
      <c r="H183" t="s">
        <v>196</v>
      </c>
      <c r="I183">
        <v>6</v>
      </c>
      <c r="J183" t="s">
        <v>688</v>
      </c>
      <c r="K183" t="s">
        <v>680</v>
      </c>
    </row>
    <row r="184" spans="1:11" x14ac:dyDescent="0.35">
      <c r="A184" t="s">
        <v>680</v>
      </c>
      <c r="B184" t="s">
        <v>680</v>
      </c>
      <c r="C184" t="s">
        <v>544</v>
      </c>
      <c r="D184" t="s">
        <v>689</v>
      </c>
      <c r="E184" t="s">
        <v>690</v>
      </c>
      <c r="F184">
        <v>157119</v>
      </c>
      <c r="G184" t="s">
        <v>691</v>
      </c>
      <c r="H184" t="s">
        <v>196</v>
      </c>
      <c r="I184">
        <v>35</v>
      </c>
      <c r="J184" t="s">
        <v>692</v>
      </c>
      <c r="K184" t="s">
        <v>680</v>
      </c>
    </row>
    <row r="185" spans="1:11" x14ac:dyDescent="0.35">
      <c r="A185" t="s">
        <v>680</v>
      </c>
      <c r="B185" t="s">
        <v>680</v>
      </c>
      <c r="C185" t="s">
        <v>544</v>
      </c>
      <c r="D185" t="s">
        <v>545</v>
      </c>
      <c r="E185" t="s">
        <v>546</v>
      </c>
      <c r="F185">
        <v>87250</v>
      </c>
      <c r="G185" t="s">
        <v>693</v>
      </c>
      <c r="H185" t="s">
        <v>196</v>
      </c>
      <c r="I185">
        <v>24</v>
      </c>
      <c r="J185" t="s">
        <v>694</v>
      </c>
      <c r="K185" t="s">
        <v>680</v>
      </c>
    </row>
    <row r="186" spans="1:11" x14ac:dyDescent="0.35">
      <c r="A186" t="s">
        <v>680</v>
      </c>
      <c r="B186" t="s">
        <v>680</v>
      </c>
      <c r="C186" t="s">
        <v>544</v>
      </c>
      <c r="D186" t="s">
        <v>695</v>
      </c>
      <c r="E186" t="s">
        <v>696</v>
      </c>
      <c r="F186">
        <v>33.590000000000003</v>
      </c>
      <c r="G186" t="s">
        <v>697</v>
      </c>
      <c r="H186" t="s">
        <v>43</v>
      </c>
      <c r="I186">
        <v>8</v>
      </c>
      <c r="J186" t="s">
        <v>698</v>
      </c>
      <c r="K186" t="s">
        <v>680</v>
      </c>
    </row>
    <row r="187" spans="1:11" x14ac:dyDescent="0.35">
      <c r="A187" t="s">
        <v>680</v>
      </c>
      <c r="B187" t="s">
        <v>680</v>
      </c>
      <c r="C187" t="s">
        <v>544</v>
      </c>
      <c r="D187" t="s">
        <v>699</v>
      </c>
      <c r="E187" t="s">
        <v>700</v>
      </c>
      <c r="F187">
        <v>133605</v>
      </c>
      <c r="G187" t="s">
        <v>701</v>
      </c>
      <c r="H187" t="s">
        <v>196</v>
      </c>
      <c r="I187">
        <v>19</v>
      </c>
      <c r="J187" t="s">
        <v>702</v>
      </c>
      <c r="K187" t="s">
        <v>680</v>
      </c>
    </row>
    <row r="188" spans="1:11" x14ac:dyDescent="0.35">
      <c r="A188" t="s">
        <v>680</v>
      </c>
      <c r="B188" t="s">
        <v>680</v>
      </c>
      <c r="C188" t="s">
        <v>544</v>
      </c>
      <c r="D188" t="s">
        <v>553</v>
      </c>
      <c r="E188" t="s">
        <v>554</v>
      </c>
      <c r="F188">
        <v>120744</v>
      </c>
      <c r="G188" t="s">
        <v>703</v>
      </c>
      <c r="H188" t="s">
        <v>196</v>
      </c>
      <c r="I188">
        <v>14</v>
      </c>
      <c r="J188" t="s">
        <v>704</v>
      </c>
      <c r="K188" t="s">
        <v>680</v>
      </c>
    </row>
    <row r="189" spans="1:11" x14ac:dyDescent="0.35">
      <c r="A189" t="s">
        <v>680</v>
      </c>
      <c r="B189" t="s">
        <v>680</v>
      </c>
      <c r="C189" t="s">
        <v>544</v>
      </c>
      <c r="D189" t="s">
        <v>705</v>
      </c>
      <c r="E189" t="s">
        <v>706</v>
      </c>
      <c r="F189">
        <v>94902</v>
      </c>
      <c r="G189" t="s">
        <v>707</v>
      </c>
      <c r="H189" t="s">
        <v>196</v>
      </c>
      <c r="I189">
        <v>10</v>
      </c>
      <c r="J189" t="s">
        <v>708</v>
      </c>
      <c r="K189" t="s">
        <v>680</v>
      </c>
    </row>
    <row r="190" spans="1:11" x14ac:dyDescent="0.35">
      <c r="A190" t="s">
        <v>680</v>
      </c>
      <c r="B190" t="s">
        <v>680</v>
      </c>
      <c r="C190" t="s">
        <v>544</v>
      </c>
      <c r="D190" t="s">
        <v>709</v>
      </c>
      <c r="E190" t="s">
        <v>710</v>
      </c>
      <c r="F190">
        <v>150869</v>
      </c>
      <c r="G190" t="s">
        <v>711</v>
      </c>
      <c r="H190" t="s">
        <v>196</v>
      </c>
      <c r="I190">
        <v>6</v>
      </c>
      <c r="J190" t="s">
        <v>712</v>
      </c>
      <c r="K190" t="s">
        <v>680</v>
      </c>
    </row>
    <row r="191" spans="1:11" x14ac:dyDescent="0.35">
      <c r="A191" t="s">
        <v>680</v>
      </c>
      <c r="B191" t="s">
        <v>680</v>
      </c>
      <c r="C191" t="s">
        <v>544</v>
      </c>
      <c r="D191" t="s">
        <v>588</v>
      </c>
      <c r="E191" t="s">
        <v>589</v>
      </c>
      <c r="F191">
        <v>127307</v>
      </c>
      <c r="G191" t="s">
        <v>713</v>
      </c>
      <c r="H191" t="s">
        <v>196</v>
      </c>
      <c r="I191">
        <v>5</v>
      </c>
      <c r="K191" t="s">
        <v>680</v>
      </c>
    </row>
    <row r="192" spans="1:11" x14ac:dyDescent="0.35">
      <c r="A192" t="s">
        <v>714</v>
      </c>
      <c r="B192" t="s">
        <v>714</v>
      </c>
      <c r="C192" t="s">
        <v>715</v>
      </c>
      <c r="D192" t="s">
        <v>716</v>
      </c>
      <c r="E192" t="s">
        <v>717</v>
      </c>
      <c r="F192">
        <v>196121</v>
      </c>
      <c r="G192" t="s">
        <v>718</v>
      </c>
      <c r="H192" t="s">
        <v>196</v>
      </c>
      <c r="I192">
        <v>111</v>
      </c>
      <c r="J192" t="s">
        <v>719</v>
      </c>
      <c r="K192" t="s">
        <v>714</v>
      </c>
    </row>
    <row r="193" spans="1:11" x14ac:dyDescent="0.35">
      <c r="A193" t="s">
        <v>714</v>
      </c>
      <c r="B193" t="s">
        <v>714</v>
      </c>
      <c r="C193" t="s">
        <v>715</v>
      </c>
      <c r="D193" t="s">
        <v>720</v>
      </c>
      <c r="E193" t="s">
        <v>721</v>
      </c>
      <c r="F193">
        <v>185025</v>
      </c>
      <c r="G193" t="s">
        <v>722</v>
      </c>
      <c r="H193" t="s">
        <v>196</v>
      </c>
      <c r="I193">
        <v>397</v>
      </c>
      <c r="J193" t="s">
        <v>723</v>
      </c>
      <c r="K193" t="s">
        <v>714</v>
      </c>
    </row>
    <row r="194" spans="1:11" x14ac:dyDescent="0.35">
      <c r="A194" t="s">
        <v>714</v>
      </c>
      <c r="B194" t="s">
        <v>714</v>
      </c>
      <c r="C194" t="s">
        <v>715</v>
      </c>
      <c r="D194" t="s">
        <v>724</v>
      </c>
      <c r="E194" t="s">
        <v>725</v>
      </c>
      <c r="F194">
        <v>146004</v>
      </c>
      <c r="G194" t="s">
        <v>726</v>
      </c>
      <c r="H194" t="s">
        <v>196</v>
      </c>
      <c r="I194">
        <v>18</v>
      </c>
      <c r="J194" t="s">
        <v>727</v>
      </c>
      <c r="K194" t="s">
        <v>714</v>
      </c>
    </row>
    <row r="195" spans="1:11" x14ac:dyDescent="0.35">
      <c r="A195" t="s">
        <v>714</v>
      </c>
      <c r="B195" t="s">
        <v>714</v>
      </c>
      <c r="C195" t="s">
        <v>715</v>
      </c>
      <c r="D195" t="s">
        <v>728</v>
      </c>
      <c r="E195" t="s">
        <v>729</v>
      </c>
      <c r="F195">
        <v>130337</v>
      </c>
      <c r="G195" t="s">
        <v>730</v>
      </c>
      <c r="H195" t="s">
        <v>196</v>
      </c>
      <c r="I195">
        <v>79</v>
      </c>
      <c r="J195" t="s">
        <v>731</v>
      </c>
      <c r="K195" t="s">
        <v>714</v>
      </c>
    </row>
    <row r="196" spans="1:11" x14ac:dyDescent="0.35">
      <c r="A196" t="s">
        <v>714</v>
      </c>
      <c r="B196" t="s">
        <v>714</v>
      </c>
      <c r="C196" t="s">
        <v>715</v>
      </c>
      <c r="D196" t="s">
        <v>732</v>
      </c>
      <c r="E196" t="s">
        <v>733</v>
      </c>
      <c r="F196">
        <v>90563</v>
      </c>
      <c r="G196" t="s">
        <v>734</v>
      </c>
      <c r="H196" t="s">
        <v>196</v>
      </c>
      <c r="I196">
        <v>29</v>
      </c>
      <c r="J196" t="s">
        <v>735</v>
      </c>
      <c r="K196" t="s">
        <v>714</v>
      </c>
    </row>
    <row r="197" spans="1:11" x14ac:dyDescent="0.35">
      <c r="A197" t="s">
        <v>714</v>
      </c>
      <c r="B197" t="s">
        <v>714</v>
      </c>
      <c r="C197" t="s">
        <v>715</v>
      </c>
      <c r="D197" t="s">
        <v>736</v>
      </c>
      <c r="E197" t="s">
        <v>737</v>
      </c>
      <c r="F197">
        <v>240303</v>
      </c>
      <c r="G197" t="s">
        <v>738</v>
      </c>
      <c r="H197" t="s">
        <v>196</v>
      </c>
      <c r="I197">
        <v>95</v>
      </c>
      <c r="J197" t="s">
        <v>739</v>
      </c>
      <c r="K197" t="s">
        <v>714</v>
      </c>
    </row>
    <row r="198" spans="1:11" x14ac:dyDescent="0.35">
      <c r="A198" t="s">
        <v>714</v>
      </c>
      <c r="B198" t="s">
        <v>714</v>
      </c>
      <c r="C198" t="s">
        <v>715</v>
      </c>
      <c r="D198" t="s">
        <v>740</v>
      </c>
      <c r="E198" t="s">
        <v>741</v>
      </c>
      <c r="F198">
        <v>103732</v>
      </c>
      <c r="G198" t="s">
        <v>742</v>
      </c>
      <c r="H198" t="s">
        <v>196</v>
      </c>
      <c r="I198">
        <v>27</v>
      </c>
      <c r="J198" t="s">
        <v>743</v>
      </c>
      <c r="K198" t="s">
        <v>714</v>
      </c>
    </row>
    <row r="199" spans="1:11" x14ac:dyDescent="0.35">
      <c r="A199" t="s">
        <v>714</v>
      </c>
      <c r="B199" t="s">
        <v>714</v>
      </c>
      <c r="C199" t="s">
        <v>715</v>
      </c>
      <c r="D199" t="s">
        <v>744</v>
      </c>
      <c r="E199" t="s">
        <v>745</v>
      </c>
      <c r="F199">
        <v>112363</v>
      </c>
      <c r="G199" t="s">
        <v>746</v>
      </c>
      <c r="H199" t="s">
        <v>196</v>
      </c>
      <c r="I199">
        <v>24</v>
      </c>
      <c r="J199" t="s">
        <v>747</v>
      </c>
      <c r="K199" t="s">
        <v>714</v>
      </c>
    </row>
    <row r="200" spans="1:11" x14ac:dyDescent="0.35">
      <c r="A200" t="s">
        <v>714</v>
      </c>
      <c r="B200" t="s">
        <v>714</v>
      </c>
      <c r="C200" t="s">
        <v>715</v>
      </c>
      <c r="D200" t="s">
        <v>748</v>
      </c>
      <c r="E200" t="s">
        <v>749</v>
      </c>
      <c r="F200">
        <v>103732</v>
      </c>
      <c r="G200" t="s">
        <v>742</v>
      </c>
      <c r="H200" t="s">
        <v>196</v>
      </c>
      <c r="I200">
        <v>21</v>
      </c>
      <c r="J200" t="s">
        <v>750</v>
      </c>
      <c r="K200" t="s">
        <v>714</v>
      </c>
    </row>
    <row r="201" spans="1:11" x14ac:dyDescent="0.35">
      <c r="A201" t="s">
        <v>714</v>
      </c>
      <c r="B201" t="s">
        <v>714</v>
      </c>
      <c r="C201" t="s">
        <v>715</v>
      </c>
      <c r="D201" t="s">
        <v>751</v>
      </c>
      <c r="E201" t="s">
        <v>752</v>
      </c>
      <c r="F201">
        <v>149033</v>
      </c>
      <c r="G201" t="s">
        <v>753</v>
      </c>
      <c r="H201" t="s">
        <v>196</v>
      </c>
      <c r="I201">
        <v>18</v>
      </c>
      <c r="J201" t="s">
        <v>754</v>
      </c>
      <c r="K201" t="s">
        <v>714</v>
      </c>
    </row>
    <row r="202" spans="1:11" x14ac:dyDescent="0.35">
      <c r="A202" t="s">
        <v>755</v>
      </c>
      <c r="B202" t="s">
        <v>755</v>
      </c>
      <c r="C202" t="s">
        <v>640</v>
      </c>
      <c r="D202" t="s">
        <v>756</v>
      </c>
      <c r="E202" t="s">
        <v>757</v>
      </c>
      <c r="F202">
        <v>127757</v>
      </c>
      <c r="G202" t="s">
        <v>758</v>
      </c>
      <c r="H202" t="s">
        <v>196</v>
      </c>
      <c r="I202">
        <v>20</v>
      </c>
      <c r="J202" t="s">
        <v>759</v>
      </c>
      <c r="K202" t="s">
        <v>755</v>
      </c>
    </row>
    <row r="203" spans="1:11" x14ac:dyDescent="0.35">
      <c r="A203" t="s">
        <v>755</v>
      </c>
      <c r="B203" t="s">
        <v>755</v>
      </c>
      <c r="C203" t="s">
        <v>640</v>
      </c>
      <c r="D203" t="s">
        <v>760</v>
      </c>
      <c r="E203" t="s">
        <v>761</v>
      </c>
      <c r="F203">
        <v>194315</v>
      </c>
      <c r="G203" t="s">
        <v>762</v>
      </c>
      <c r="H203" t="s">
        <v>196</v>
      </c>
      <c r="I203">
        <v>13</v>
      </c>
      <c r="J203" t="s">
        <v>763</v>
      </c>
      <c r="K203" t="s">
        <v>755</v>
      </c>
    </row>
    <row r="204" spans="1:11" x14ac:dyDescent="0.35">
      <c r="A204" t="s">
        <v>755</v>
      </c>
      <c r="B204" t="s">
        <v>755</v>
      </c>
      <c r="C204" t="s">
        <v>640</v>
      </c>
      <c r="D204" t="s">
        <v>764</v>
      </c>
      <c r="E204" t="s">
        <v>765</v>
      </c>
      <c r="F204">
        <v>80101</v>
      </c>
      <c r="G204" t="s">
        <v>766</v>
      </c>
      <c r="H204" t="s">
        <v>196</v>
      </c>
      <c r="I204">
        <v>8</v>
      </c>
      <c r="J204" t="s">
        <v>767</v>
      </c>
      <c r="K204" t="s">
        <v>755</v>
      </c>
    </row>
    <row r="205" spans="1:11" x14ac:dyDescent="0.35">
      <c r="A205" t="s">
        <v>755</v>
      </c>
      <c r="B205" t="s">
        <v>755</v>
      </c>
      <c r="C205" t="s">
        <v>640</v>
      </c>
      <c r="D205" t="s">
        <v>768</v>
      </c>
      <c r="E205" t="s">
        <v>769</v>
      </c>
      <c r="F205">
        <v>165631</v>
      </c>
      <c r="G205" t="s">
        <v>770</v>
      </c>
      <c r="H205" t="s">
        <v>196</v>
      </c>
      <c r="I205">
        <v>3</v>
      </c>
      <c r="K205" t="s">
        <v>755</v>
      </c>
    </row>
    <row r="206" spans="1:11" x14ac:dyDescent="0.35">
      <c r="A206" t="s">
        <v>755</v>
      </c>
      <c r="B206" t="s">
        <v>755</v>
      </c>
      <c r="C206" t="s">
        <v>640</v>
      </c>
      <c r="D206" t="s">
        <v>771</v>
      </c>
      <c r="E206" t="s">
        <v>772</v>
      </c>
      <c r="F206">
        <v>6765</v>
      </c>
      <c r="G206" t="s">
        <v>773</v>
      </c>
      <c r="H206" t="s">
        <v>774</v>
      </c>
      <c r="I206">
        <v>3</v>
      </c>
      <c r="K206" t="s">
        <v>755</v>
      </c>
    </row>
    <row r="207" spans="1:11" x14ac:dyDescent="0.35">
      <c r="A207" t="s">
        <v>755</v>
      </c>
      <c r="B207" t="s">
        <v>755</v>
      </c>
      <c r="C207" t="s">
        <v>640</v>
      </c>
      <c r="D207" t="s">
        <v>775</v>
      </c>
      <c r="E207" t="s">
        <v>776</v>
      </c>
      <c r="F207">
        <v>14052</v>
      </c>
      <c r="G207" t="s">
        <v>777</v>
      </c>
      <c r="H207" t="s">
        <v>774</v>
      </c>
      <c r="I207">
        <v>3</v>
      </c>
      <c r="K207" t="s">
        <v>755</v>
      </c>
    </row>
    <row r="208" spans="1:11" x14ac:dyDescent="0.35">
      <c r="A208" t="s">
        <v>755</v>
      </c>
      <c r="B208" t="s">
        <v>755</v>
      </c>
      <c r="C208" t="s">
        <v>640</v>
      </c>
      <c r="D208" t="s">
        <v>778</v>
      </c>
      <c r="E208" t="s">
        <v>779</v>
      </c>
      <c r="F208">
        <v>8605</v>
      </c>
      <c r="G208" t="s">
        <v>780</v>
      </c>
      <c r="H208" t="s">
        <v>774</v>
      </c>
      <c r="I208">
        <v>3</v>
      </c>
      <c r="K208" t="s">
        <v>755</v>
      </c>
    </row>
    <row r="209" spans="1:11" x14ac:dyDescent="0.35">
      <c r="A209" t="s">
        <v>755</v>
      </c>
      <c r="B209" t="s">
        <v>755</v>
      </c>
      <c r="C209" t="s">
        <v>640</v>
      </c>
      <c r="D209" t="s">
        <v>781</v>
      </c>
      <c r="E209" t="s">
        <v>782</v>
      </c>
      <c r="F209">
        <v>7018</v>
      </c>
      <c r="G209" t="s">
        <v>783</v>
      </c>
      <c r="H209" t="s">
        <v>774</v>
      </c>
      <c r="I209">
        <v>2</v>
      </c>
      <c r="K209" t="s">
        <v>755</v>
      </c>
    </row>
    <row r="210" spans="1:11" x14ac:dyDescent="0.35">
      <c r="A210" t="s">
        <v>755</v>
      </c>
      <c r="B210" t="s">
        <v>755</v>
      </c>
      <c r="C210" t="s">
        <v>640</v>
      </c>
      <c r="D210" t="s">
        <v>784</v>
      </c>
      <c r="E210" t="s">
        <v>785</v>
      </c>
      <c r="F210">
        <v>9707</v>
      </c>
      <c r="G210" t="s">
        <v>786</v>
      </c>
      <c r="H210" t="s">
        <v>774</v>
      </c>
      <c r="I210">
        <v>2</v>
      </c>
      <c r="K210" t="s">
        <v>755</v>
      </c>
    </row>
    <row r="211" spans="1:11" x14ac:dyDescent="0.35">
      <c r="A211" t="s">
        <v>755</v>
      </c>
      <c r="B211" t="s">
        <v>755</v>
      </c>
      <c r="C211" t="s">
        <v>640</v>
      </c>
      <c r="D211" t="s">
        <v>787</v>
      </c>
      <c r="E211" t="s">
        <v>788</v>
      </c>
      <c r="F211">
        <v>8893</v>
      </c>
      <c r="G211" t="s">
        <v>789</v>
      </c>
      <c r="H211" t="s">
        <v>774</v>
      </c>
      <c r="I211">
        <v>2</v>
      </c>
      <c r="K211" t="s">
        <v>755</v>
      </c>
    </row>
    <row r="212" spans="1:11" x14ac:dyDescent="0.35">
      <c r="A212" t="s">
        <v>790</v>
      </c>
      <c r="B212" t="s">
        <v>790</v>
      </c>
      <c r="C212" t="s">
        <v>715</v>
      </c>
      <c r="D212" t="s">
        <v>791</v>
      </c>
      <c r="E212" t="s">
        <v>792</v>
      </c>
      <c r="F212">
        <v>82001</v>
      </c>
      <c r="G212" t="s">
        <v>793</v>
      </c>
      <c r="H212" t="s">
        <v>196</v>
      </c>
      <c r="I212">
        <v>22</v>
      </c>
      <c r="J212" t="s">
        <v>794</v>
      </c>
      <c r="K212" t="s">
        <v>790</v>
      </c>
    </row>
    <row r="213" spans="1:11" x14ac:dyDescent="0.35">
      <c r="A213" t="s">
        <v>790</v>
      </c>
      <c r="B213" t="s">
        <v>790</v>
      </c>
      <c r="C213" t="s">
        <v>715</v>
      </c>
      <c r="D213" t="s">
        <v>716</v>
      </c>
      <c r="E213" t="s">
        <v>717</v>
      </c>
      <c r="F213">
        <v>126828</v>
      </c>
      <c r="G213" t="s">
        <v>795</v>
      </c>
      <c r="H213" t="s">
        <v>196</v>
      </c>
      <c r="I213">
        <v>16</v>
      </c>
      <c r="J213" t="s">
        <v>796</v>
      </c>
      <c r="K213" t="s">
        <v>790</v>
      </c>
    </row>
    <row r="214" spans="1:11" x14ac:dyDescent="0.35">
      <c r="A214" t="s">
        <v>790</v>
      </c>
      <c r="B214" t="s">
        <v>790</v>
      </c>
      <c r="C214" t="s">
        <v>715</v>
      </c>
      <c r="D214" t="s">
        <v>797</v>
      </c>
      <c r="E214" t="s">
        <v>798</v>
      </c>
      <c r="F214">
        <v>86265</v>
      </c>
      <c r="G214" t="s">
        <v>799</v>
      </c>
      <c r="H214" t="s">
        <v>196</v>
      </c>
      <c r="I214">
        <v>8</v>
      </c>
      <c r="J214" t="s">
        <v>800</v>
      </c>
      <c r="K214" t="s">
        <v>790</v>
      </c>
    </row>
    <row r="215" spans="1:11" x14ac:dyDescent="0.35">
      <c r="A215" t="s">
        <v>790</v>
      </c>
      <c r="B215" t="s">
        <v>790</v>
      </c>
      <c r="C215" t="s">
        <v>715</v>
      </c>
      <c r="D215" t="s">
        <v>720</v>
      </c>
      <c r="E215" t="s">
        <v>721</v>
      </c>
      <c r="F215">
        <v>114692</v>
      </c>
      <c r="G215" t="s">
        <v>801</v>
      </c>
      <c r="H215" t="s">
        <v>196</v>
      </c>
      <c r="I215">
        <v>88</v>
      </c>
      <c r="J215" t="s">
        <v>802</v>
      </c>
      <c r="K215" t="s">
        <v>790</v>
      </c>
    </row>
    <row r="216" spans="1:11" x14ac:dyDescent="0.35">
      <c r="A216" t="s">
        <v>790</v>
      </c>
      <c r="B216" t="s">
        <v>790</v>
      </c>
      <c r="C216" t="s">
        <v>715</v>
      </c>
      <c r="D216" t="s">
        <v>803</v>
      </c>
      <c r="E216" t="s">
        <v>804</v>
      </c>
      <c r="F216">
        <v>75549</v>
      </c>
      <c r="G216" t="s">
        <v>805</v>
      </c>
      <c r="H216" t="s">
        <v>196</v>
      </c>
      <c r="I216">
        <v>9</v>
      </c>
      <c r="J216" t="s">
        <v>806</v>
      </c>
      <c r="K216" t="s">
        <v>790</v>
      </c>
    </row>
    <row r="217" spans="1:11" x14ac:dyDescent="0.35">
      <c r="A217" t="s">
        <v>790</v>
      </c>
      <c r="B217" t="s">
        <v>790</v>
      </c>
      <c r="C217" t="s">
        <v>715</v>
      </c>
      <c r="D217" t="s">
        <v>807</v>
      </c>
      <c r="E217" t="s">
        <v>808</v>
      </c>
      <c r="F217">
        <v>90335</v>
      </c>
      <c r="G217" t="s">
        <v>809</v>
      </c>
      <c r="H217" t="s">
        <v>196</v>
      </c>
      <c r="I217">
        <v>6</v>
      </c>
      <c r="J217" t="s">
        <v>810</v>
      </c>
      <c r="K217" t="s">
        <v>790</v>
      </c>
    </row>
    <row r="218" spans="1:11" x14ac:dyDescent="0.35">
      <c r="A218" t="s">
        <v>790</v>
      </c>
      <c r="B218" t="s">
        <v>790</v>
      </c>
      <c r="C218" t="s">
        <v>715</v>
      </c>
      <c r="D218" t="s">
        <v>751</v>
      </c>
      <c r="E218" t="s">
        <v>752</v>
      </c>
      <c r="F218">
        <v>115773</v>
      </c>
      <c r="G218" t="s">
        <v>811</v>
      </c>
      <c r="H218" t="s">
        <v>196</v>
      </c>
      <c r="I218">
        <v>24</v>
      </c>
      <c r="J218" t="s">
        <v>812</v>
      </c>
      <c r="K218" t="s">
        <v>790</v>
      </c>
    </row>
    <row r="219" spans="1:11" x14ac:dyDescent="0.35">
      <c r="A219" t="s">
        <v>790</v>
      </c>
      <c r="B219" t="s">
        <v>790</v>
      </c>
      <c r="C219" t="s">
        <v>715</v>
      </c>
      <c r="D219" t="s">
        <v>813</v>
      </c>
      <c r="E219" t="s">
        <v>814</v>
      </c>
      <c r="F219">
        <v>51627</v>
      </c>
      <c r="G219" t="s">
        <v>815</v>
      </c>
      <c r="H219" t="s">
        <v>196</v>
      </c>
      <c r="I219">
        <v>9</v>
      </c>
      <c r="J219" t="s">
        <v>816</v>
      </c>
      <c r="K219" t="s">
        <v>790</v>
      </c>
    </row>
    <row r="220" spans="1:11" x14ac:dyDescent="0.35">
      <c r="A220" t="s">
        <v>790</v>
      </c>
      <c r="B220" t="s">
        <v>790</v>
      </c>
      <c r="C220" t="s">
        <v>715</v>
      </c>
      <c r="D220" t="s">
        <v>728</v>
      </c>
      <c r="E220" t="s">
        <v>729</v>
      </c>
      <c r="F220">
        <v>116136</v>
      </c>
      <c r="G220" t="s">
        <v>817</v>
      </c>
      <c r="H220" t="s">
        <v>196</v>
      </c>
      <c r="I220">
        <v>6</v>
      </c>
      <c r="J220" t="s">
        <v>818</v>
      </c>
      <c r="K220" t="s">
        <v>790</v>
      </c>
    </row>
    <row r="221" spans="1:11" x14ac:dyDescent="0.35">
      <c r="A221" t="s">
        <v>790</v>
      </c>
      <c r="B221" t="s">
        <v>790</v>
      </c>
      <c r="C221" t="s">
        <v>715</v>
      </c>
      <c r="D221" t="s">
        <v>819</v>
      </c>
      <c r="E221" t="s">
        <v>820</v>
      </c>
      <c r="F221">
        <v>75000</v>
      </c>
      <c r="G221" t="s">
        <v>821</v>
      </c>
      <c r="H221" t="s">
        <v>196</v>
      </c>
      <c r="I221">
        <v>1</v>
      </c>
      <c r="K221" t="s">
        <v>790</v>
      </c>
    </row>
    <row r="222" spans="1:11" x14ac:dyDescent="0.35">
      <c r="A222" t="s">
        <v>822</v>
      </c>
      <c r="B222" t="s">
        <v>822</v>
      </c>
      <c r="C222" t="s">
        <v>715</v>
      </c>
      <c r="D222" t="s">
        <v>823</v>
      </c>
      <c r="E222" t="s">
        <v>824</v>
      </c>
      <c r="F222">
        <v>147384</v>
      </c>
      <c r="G222" t="s">
        <v>825</v>
      </c>
      <c r="H222" t="s">
        <v>196</v>
      </c>
      <c r="I222">
        <v>6</v>
      </c>
      <c r="J222" t="s">
        <v>826</v>
      </c>
      <c r="K222" t="s">
        <v>822</v>
      </c>
    </row>
    <row r="223" spans="1:11" x14ac:dyDescent="0.35">
      <c r="A223" t="s">
        <v>822</v>
      </c>
      <c r="B223" t="s">
        <v>822</v>
      </c>
      <c r="C223" t="s">
        <v>715</v>
      </c>
      <c r="D223" t="s">
        <v>720</v>
      </c>
      <c r="E223" t="s">
        <v>721</v>
      </c>
      <c r="F223">
        <v>57311</v>
      </c>
      <c r="G223" t="s">
        <v>827</v>
      </c>
      <c r="H223" t="s">
        <v>196</v>
      </c>
      <c r="I223">
        <v>6</v>
      </c>
      <c r="J223" t="s">
        <v>828</v>
      </c>
      <c r="K223" t="s">
        <v>822</v>
      </c>
    </row>
    <row r="224" spans="1:11" x14ac:dyDescent="0.35">
      <c r="A224" t="s">
        <v>822</v>
      </c>
      <c r="B224" t="s">
        <v>822</v>
      </c>
      <c r="C224" t="s">
        <v>715</v>
      </c>
      <c r="D224" t="s">
        <v>751</v>
      </c>
      <c r="E224" t="s">
        <v>752</v>
      </c>
      <c r="F224">
        <v>97540</v>
      </c>
      <c r="G224" t="s">
        <v>829</v>
      </c>
      <c r="H224" t="s">
        <v>196</v>
      </c>
      <c r="I224">
        <v>25</v>
      </c>
      <c r="J224" t="s">
        <v>830</v>
      </c>
      <c r="K224" t="s">
        <v>822</v>
      </c>
    </row>
    <row r="225" spans="1:11" x14ac:dyDescent="0.35">
      <c r="A225" t="s">
        <v>822</v>
      </c>
      <c r="B225" t="s">
        <v>822</v>
      </c>
      <c r="C225" t="s">
        <v>715</v>
      </c>
      <c r="D225" t="s">
        <v>831</v>
      </c>
      <c r="E225" t="s">
        <v>832</v>
      </c>
      <c r="F225">
        <v>139381</v>
      </c>
      <c r="G225" t="s">
        <v>833</v>
      </c>
      <c r="H225" t="s">
        <v>196</v>
      </c>
      <c r="I225">
        <v>8</v>
      </c>
      <c r="J225" t="s">
        <v>834</v>
      </c>
      <c r="K225" t="s">
        <v>822</v>
      </c>
    </row>
    <row r="226" spans="1:11" x14ac:dyDescent="0.35">
      <c r="A226" t="s">
        <v>822</v>
      </c>
      <c r="B226" t="s">
        <v>822</v>
      </c>
      <c r="C226" t="s">
        <v>715</v>
      </c>
      <c r="D226" t="s">
        <v>835</v>
      </c>
      <c r="E226" t="s">
        <v>836</v>
      </c>
      <c r="F226">
        <v>97986</v>
      </c>
      <c r="G226" t="s">
        <v>837</v>
      </c>
      <c r="H226" t="s">
        <v>196</v>
      </c>
      <c r="I226">
        <v>13</v>
      </c>
      <c r="J226" t="s">
        <v>838</v>
      </c>
      <c r="K226" t="s">
        <v>822</v>
      </c>
    </row>
    <row r="227" spans="1:11" x14ac:dyDescent="0.35">
      <c r="A227" t="s">
        <v>822</v>
      </c>
      <c r="B227" t="s">
        <v>822</v>
      </c>
      <c r="C227" t="s">
        <v>715</v>
      </c>
      <c r="D227" t="s">
        <v>839</v>
      </c>
      <c r="E227" t="s">
        <v>840</v>
      </c>
      <c r="F227">
        <v>106029</v>
      </c>
      <c r="G227" t="s">
        <v>841</v>
      </c>
      <c r="H227" t="s">
        <v>196</v>
      </c>
      <c r="I227">
        <v>7</v>
      </c>
      <c r="J227" t="s">
        <v>842</v>
      </c>
      <c r="K227" t="s">
        <v>822</v>
      </c>
    </row>
    <row r="228" spans="1:11" x14ac:dyDescent="0.35">
      <c r="A228" t="s">
        <v>822</v>
      </c>
      <c r="B228" t="s">
        <v>822</v>
      </c>
      <c r="C228" t="s">
        <v>715</v>
      </c>
      <c r="D228" t="s">
        <v>843</v>
      </c>
      <c r="E228" t="s">
        <v>844</v>
      </c>
      <c r="F228">
        <v>115800</v>
      </c>
      <c r="G228" t="s">
        <v>845</v>
      </c>
      <c r="H228" t="s">
        <v>196</v>
      </c>
      <c r="I228">
        <v>13</v>
      </c>
      <c r="J228" t="s">
        <v>846</v>
      </c>
      <c r="K228" t="s">
        <v>822</v>
      </c>
    </row>
    <row r="229" spans="1:11" x14ac:dyDescent="0.35">
      <c r="A229" t="s">
        <v>822</v>
      </c>
      <c r="B229" t="s">
        <v>822</v>
      </c>
      <c r="C229" t="s">
        <v>715</v>
      </c>
      <c r="D229" t="s">
        <v>847</v>
      </c>
      <c r="E229" t="s">
        <v>848</v>
      </c>
      <c r="F229">
        <v>182795</v>
      </c>
      <c r="G229" t="s">
        <v>849</v>
      </c>
      <c r="H229" t="s">
        <v>196</v>
      </c>
      <c r="I229">
        <v>8</v>
      </c>
      <c r="J229" t="s">
        <v>850</v>
      </c>
      <c r="K229" t="s">
        <v>822</v>
      </c>
    </row>
    <row r="230" spans="1:11" x14ac:dyDescent="0.35">
      <c r="A230" t="s">
        <v>822</v>
      </c>
      <c r="B230" t="s">
        <v>822</v>
      </c>
      <c r="C230" t="s">
        <v>715</v>
      </c>
      <c r="D230" t="s">
        <v>851</v>
      </c>
      <c r="E230" t="s">
        <v>852</v>
      </c>
      <c r="F230">
        <v>75235</v>
      </c>
      <c r="G230" t="s">
        <v>853</v>
      </c>
      <c r="H230" t="s">
        <v>196</v>
      </c>
      <c r="I230">
        <v>9</v>
      </c>
      <c r="J230" t="s">
        <v>854</v>
      </c>
      <c r="K230" t="s">
        <v>822</v>
      </c>
    </row>
    <row r="231" spans="1:11" x14ac:dyDescent="0.35">
      <c r="A231" t="s">
        <v>822</v>
      </c>
      <c r="B231" t="s">
        <v>822</v>
      </c>
      <c r="C231" t="s">
        <v>715</v>
      </c>
      <c r="D231" t="s">
        <v>855</v>
      </c>
      <c r="E231" t="s">
        <v>856</v>
      </c>
      <c r="F231">
        <v>74499</v>
      </c>
      <c r="G231" t="s">
        <v>857</v>
      </c>
      <c r="H231" t="s">
        <v>196</v>
      </c>
      <c r="I231">
        <v>7</v>
      </c>
      <c r="J231" t="s">
        <v>858</v>
      </c>
      <c r="K231" t="s">
        <v>822</v>
      </c>
    </row>
    <row r="232" spans="1:11" x14ac:dyDescent="0.35">
      <c r="A232" t="s">
        <v>859</v>
      </c>
      <c r="B232" t="s">
        <v>859</v>
      </c>
      <c r="C232" t="s">
        <v>235</v>
      </c>
      <c r="D232" t="s">
        <v>860</v>
      </c>
      <c r="E232" t="s">
        <v>861</v>
      </c>
      <c r="F232">
        <v>61866</v>
      </c>
      <c r="G232" t="s">
        <v>862</v>
      </c>
      <c r="H232" t="s">
        <v>196</v>
      </c>
      <c r="I232">
        <v>138</v>
      </c>
      <c r="J232" t="s">
        <v>863</v>
      </c>
      <c r="K232" t="s">
        <v>859</v>
      </c>
    </row>
    <row r="233" spans="1:11" x14ac:dyDescent="0.35">
      <c r="A233" t="s">
        <v>859</v>
      </c>
      <c r="B233" t="s">
        <v>859</v>
      </c>
      <c r="C233" t="s">
        <v>235</v>
      </c>
      <c r="D233" t="s">
        <v>252</v>
      </c>
      <c r="E233" t="s">
        <v>253</v>
      </c>
      <c r="F233">
        <v>177724</v>
      </c>
      <c r="G233" t="s">
        <v>864</v>
      </c>
      <c r="H233" t="s">
        <v>196</v>
      </c>
      <c r="I233">
        <v>148</v>
      </c>
      <c r="J233" t="s">
        <v>865</v>
      </c>
      <c r="K233" t="s">
        <v>859</v>
      </c>
    </row>
    <row r="234" spans="1:11" x14ac:dyDescent="0.35">
      <c r="A234" t="s">
        <v>859</v>
      </c>
      <c r="B234" t="s">
        <v>859</v>
      </c>
      <c r="C234" t="s">
        <v>235</v>
      </c>
      <c r="D234" t="s">
        <v>866</v>
      </c>
      <c r="E234" t="s">
        <v>867</v>
      </c>
      <c r="F234">
        <v>135893</v>
      </c>
      <c r="G234" t="s">
        <v>868</v>
      </c>
      <c r="H234" t="s">
        <v>196</v>
      </c>
      <c r="I234">
        <v>103</v>
      </c>
      <c r="J234" t="s">
        <v>869</v>
      </c>
      <c r="K234" t="s">
        <v>859</v>
      </c>
    </row>
    <row r="235" spans="1:11" x14ac:dyDescent="0.35">
      <c r="A235" t="s">
        <v>859</v>
      </c>
      <c r="B235" t="s">
        <v>859</v>
      </c>
      <c r="C235" t="s">
        <v>235</v>
      </c>
      <c r="D235" t="s">
        <v>870</v>
      </c>
      <c r="E235" t="s">
        <v>871</v>
      </c>
      <c r="F235">
        <v>208997</v>
      </c>
      <c r="G235" t="s">
        <v>872</v>
      </c>
      <c r="H235" t="s">
        <v>196</v>
      </c>
      <c r="I235">
        <v>215</v>
      </c>
      <c r="J235" t="s">
        <v>873</v>
      </c>
      <c r="K235" t="s">
        <v>859</v>
      </c>
    </row>
    <row r="236" spans="1:11" x14ac:dyDescent="0.35">
      <c r="A236" t="s">
        <v>859</v>
      </c>
      <c r="B236" t="s">
        <v>859</v>
      </c>
      <c r="C236" t="s">
        <v>235</v>
      </c>
      <c r="D236" t="s">
        <v>874</v>
      </c>
      <c r="E236" t="s">
        <v>875</v>
      </c>
      <c r="F236">
        <v>73210</v>
      </c>
      <c r="G236" t="s">
        <v>876</v>
      </c>
      <c r="H236" t="s">
        <v>196</v>
      </c>
      <c r="I236">
        <v>41</v>
      </c>
      <c r="J236" t="s">
        <v>877</v>
      </c>
      <c r="K236" t="s">
        <v>859</v>
      </c>
    </row>
    <row r="237" spans="1:11" x14ac:dyDescent="0.35">
      <c r="A237" t="s">
        <v>859</v>
      </c>
      <c r="B237" t="s">
        <v>859</v>
      </c>
      <c r="C237" t="s">
        <v>235</v>
      </c>
      <c r="D237" t="s">
        <v>878</v>
      </c>
      <c r="E237" t="s">
        <v>879</v>
      </c>
      <c r="F237">
        <v>55306</v>
      </c>
      <c r="G237" t="s">
        <v>880</v>
      </c>
      <c r="H237" t="s">
        <v>196</v>
      </c>
      <c r="I237">
        <v>44</v>
      </c>
      <c r="J237" t="s">
        <v>881</v>
      </c>
      <c r="K237" t="s">
        <v>859</v>
      </c>
    </row>
    <row r="238" spans="1:11" x14ac:dyDescent="0.35">
      <c r="A238" t="s">
        <v>859</v>
      </c>
      <c r="B238" t="s">
        <v>859</v>
      </c>
      <c r="C238" t="s">
        <v>235</v>
      </c>
      <c r="D238" t="s">
        <v>882</v>
      </c>
      <c r="E238" t="s">
        <v>883</v>
      </c>
      <c r="F238">
        <v>112558</v>
      </c>
      <c r="G238" t="s">
        <v>884</v>
      </c>
      <c r="H238" t="s">
        <v>196</v>
      </c>
      <c r="I238">
        <v>108</v>
      </c>
      <c r="J238" t="s">
        <v>885</v>
      </c>
      <c r="K238" t="s">
        <v>859</v>
      </c>
    </row>
    <row r="239" spans="1:11" x14ac:dyDescent="0.35">
      <c r="A239" t="s">
        <v>859</v>
      </c>
      <c r="B239" t="s">
        <v>859</v>
      </c>
      <c r="C239" t="s">
        <v>235</v>
      </c>
      <c r="D239" t="s">
        <v>886</v>
      </c>
      <c r="E239" t="s">
        <v>887</v>
      </c>
      <c r="F239">
        <v>122185</v>
      </c>
      <c r="G239" t="s">
        <v>888</v>
      </c>
      <c r="H239" t="s">
        <v>196</v>
      </c>
      <c r="I239">
        <v>144</v>
      </c>
      <c r="J239" t="s">
        <v>889</v>
      </c>
      <c r="K239" t="s">
        <v>859</v>
      </c>
    </row>
    <row r="240" spans="1:11" x14ac:dyDescent="0.35">
      <c r="A240" t="s">
        <v>859</v>
      </c>
      <c r="B240" t="s">
        <v>859</v>
      </c>
      <c r="C240" t="s">
        <v>235</v>
      </c>
      <c r="D240" t="s">
        <v>890</v>
      </c>
      <c r="E240" t="s">
        <v>891</v>
      </c>
      <c r="F240">
        <v>151833</v>
      </c>
      <c r="G240" t="s">
        <v>892</v>
      </c>
      <c r="H240" t="s">
        <v>196</v>
      </c>
      <c r="I240">
        <v>12</v>
      </c>
      <c r="J240" t="s">
        <v>893</v>
      </c>
      <c r="K240" t="s">
        <v>859</v>
      </c>
    </row>
    <row r="241" spans="1:11" x14ac:dyDescent="0.35">
      <c r="A241" t="s">
        <v>859</v>
      </c>
      <c r="B241" t="s">
        <v>859</v>
      </c>
      <c r="C241" t="s">
        <v>235</v>
      </c>
      <c r="D241" t="s">
        <v>894</v>
      </c>
      <c r="E241" t="s">
        <v>895</v>
      </c>
      <c r="F241">
        <v>170348</v>
      </c>
      <c r="G241" t="s">
        <v>896</v>
      </c>
      <c r="H241" t="s">
        <v>196</v>
      </c>
      <c r="I241">
        <v>108</v>
      </c>
      <c r="J241" t="s">
        <v>897</v>
      </c>
      <c r="K241" t="s">
        <v>859</v>
      </c>
    </row>
    <row r="242" spans="1:11" x14ac:dyDescent="0.35">
      <c r="A242" t="s">
        <v>898</v>
      </c>
      <c r="B242" t="s">
        <v>898</v>
      </c>
      <c r="C242" t="s">
        <v>899</v>
      </c>
      <c r="D242" t="s">
        <v>900</v>
      </c>
      <c r="E242" t="s">
        <v>901</v>
      </c>
      <c r="F242">
        <v>49.76</v>
      </c>
      <c r="G242" t="s">
        <v>902</v>
      </c>
      <c r="H242" t="s">
        <v>43</v>
      </c>
      <c r="I242">
        <v>4</v>
      </c>
      <c r="K242" t="s">
        <v>898</v>
      </c>
    </row>
    <row r="243" spans="1:11" x14ac:dyDescent="0.35">
      <c r="A243" t="s">
        <v>898</v>
      </c>
      <c r="B243" t="s">
        <v>898</v>
      </c>
      <c r="C243" t="s">
        <v>899</v>
      </c>
      <c r="D243" t="s">
        <v>903</v>
      </c>
      <c r="E243" t="s">
        <v>904</v>
      </c>
      <c r="F243">
        <v>27.28</v>
      </c>
      <c r="G243" t="s">
        <v>905</v>
      </c>
      <c r="H243" t="s">
        <v>43</v>
      </c>
      <c r="I243">
        <v>7</v>
      </c>
      <c r="J243" t="s">
        <v>906</v>
      </c>
      <c r="K243" t="s">
        <v>898</v>
      </c>
    </row>
    <row r="244" spans="1:11" x14ac:dyDescent="0.35">
      <c r="A244" t="s">
        <v>898</v>
      </c>
      <c r="B244" t="s">
        <v>898</v>
      </c>
      <c r="C244" t="s">
        <v>899</v>
      </c>
      <c r="D244" t="s">
        <v>907</v>
      </c>
      <c r="E244" t="s">
        <v>908</v>
      </c>
      <c r="F244">
        <v>23.53</v>
      </c>
      <c r="G244" t="s">
        <v>909</v>
      </c>
      <c r="H244" t="s">
        <v>43</v>
      </c>
      <c r="I244">
        <v>4</v>
      </c>
      <c r="K244" t="s">
        <v>898</v>
      </c>
    </row>
    <row r="245" spans="1:11" x14ac:dyDescent="0.35">
      <c r="A245" t="s">
        <v>898</v>
      </c>
      <c r="B245" t="s">
        <v>898</v>
      </c>
      <c r="C245" t="s">
        <v>899</v>
      </c>
      <c r="D245" t="s">
        <v>910</v>
      </c>
      <c r="E245" t="s">
        <v>911</v>
      </c>
      <c r="F245">
        <v>72.12</v>
      </c>
      <c r="G245" t="s">
        <v>912</v>
      </c>
      <c r="H245" t="s">
        <v>43</v>
      </c>
      <c r="I245">
        <v>2</v>
      </c>
      <c r="K245" t="s">
        <v>898</v>
      </c>
    </row>
    <row r="246" spans="1:11" x14ac:dyDescent="0.35">
      <c r="A246" t="s">
        <v>898</v>
      </c>
      <c r="B246" t="s">
        <v>898</v>
      </c>
      <c r="C246" t="s">
        <v>899</v>
      </c>
      <c r="D246" t="s">
        <v>913</v>
      </c>
      <c r="E246" t="s">
        <v>914</v>
      </c>
      <c r="F246">
        <v>24.91</v>
      </c>
      <c r="G246" t="s">
        <v>915</v>
      </c>
      <c r="H246" t="s">
        <v>43</v>
      </c>
      <c r="I246">
        <v>3</v>
      </c>
      <c r="K246" t="s">
        <v>898</v>
      </c>
    </row>
    <row r="247" spans="1:11" x14ac:dyDescent="0.35">
      <c r="A247" t="s">
        <v>898</v>
      </c>
      <c r="B247" t="s">
        <v>898</v>
      </c>
      <c r="C247" t="s">
        <v>899</v>
      </c>
      <c r="D247" t="s">
        <v>916</v>
      </c>
      <c r="E247" t="s">
        <v>917</v>
      </c>
      <c r="F247">
        <v>23.1</v>
      </c>
      <c r="G247" t="s">
        <v>918</v>
      </c>
      <c r="H247" t="s">
        <v>43</v>
      </c>
      <c r="I247">
        <v>2</v>
      </c>
      <c r="K247" t="s">
        <v>898</v>
      </c>
    </row>
    <row r="248" spans="1:11" x14ac:dyDescent="0.35">
      <c r="A248" t="s">
        <v>898</v>
      </c>
      <c r="B248" t="s">
        <v>898</v>
      </c>
      <c r="C248" t="s">
        <v>899</v>
      </c>
      <c r="D248" t="s">
        <v>919</v>
      </c>
      <c r="E248" t="s">
        <v>920</v>
      </c>
      <c r="F248">
        <v>44.27</v>
      </c>
      <c r="G248" t="s">
        <v>921</v>
      </c>
      <c r="H248" t="s">
        <v>43</v>
      </c>
      <c r="I248">
        <v>1</v>
      </c>
      <c r="K248" t="s">
        <v>898</v>
      </c>
    </row>
    <row r="249" spans="1:11" x14ac:dyDescent="0.35">
      <c r="A249" t="s">
        <v>898</v>
      </c>
      <c r="B249" t="s">
        <v>898</v>
      </c>
      <c r="C249" t="s">
        <v>899</v>
      </c>
      <c r="D249" t="s">
        <v>922</v>
      </c>
      <c r="E249" t="s">
        <v>923</v>
      </c>
      <c r="F249">
        <v>49.75</v>
      </c>
      <c r="G249" t="s">
        <v>924</v>
      </c>
      <c r="H249" t="s">
        <v>43</v>
      </c>
      <c r="I249">
        <v>1</v>
      </c>
      <c r="K249" t="s">
        <v>898</v>
      </c>
    </row>
    <row r="250" spans="1:11" x14ac:dyDescent="0.35">
      <c r="A250" t="s">
        <v>898</v>
      </c>
      <c r="B250" t="s">
        <v>898</v>
      </c>
      <c r="C250" t="s">
        <v>899</v>
      </c>
      <c r="D250" t="s">
        <v>925</v>
      </c>
      <c r="E250" t="s">
        <v>926</v>
      </c>
      <c r="F250">
        <v>31.64</v>
      </c>
      <c r="G250" t="s">
        <v>927</v>
      </c>
      <c r="H250" t="s">
        <v>43</v>
      </c>
      <c r="I250">
        <v>1</v>
      </c>
      <c r="K250" t="s">
        <v>898</v>
      </c>
    </row>
    <row r="251" spans="1:11" x14ac:dyDescent="0.35">
      <c r="A251" t="s">
        <v>898</v>
      </c>
      <c r="B251" t="s">
        <v>898</v>
      </c>
      <c r="C251" t="s">
        <v>899</v>
      </c>
      <c r="D251" t="s">
        <v>928</v>
      </c>
      <c r="E251" t="s">
        <v>929</v>
      </c>
      <c r="F251">
        <v>22.74</v>
      </c>
      <c r="G251" t="s">
        <v>930</v>
      </c>
      <c r="H251" t="s">
        <v>43</v>
      </c>
      <c r="I251">
        <v>1</v>
      </c>
      <c r="K251" t="s">
        <v>898</v>
      </c>
    </row>
    <row r="252" spans="1:11" x14ac:dyDescent="0.35">
      <c r="A252" t="s">
        <v>931</v>
      </c>
      <c r="B252" t="s">
        <v>931</v>
      </c>
      <c r="C252" t="s">
        <v>235</v>
      </c>
      <c r="D252" t="s">
        <v>236</v>
      </c>
      <c r="E252" t="s">
        <v>237</v>
      </c>
      <c r="F252">
        <v>131928</v>
      </c>
      <c r="G252" t="s">
        <v>932</v>
      </c>
      <c r="H252" t="s">
        <v>196</v>
      </c>
      <c r="I252">
        <v>5</v>
      </c>
      <c r="K252" t="s">
        <v>931</v>
      </c>
    </row>
    <row r="253" spans="1:11" x14ac:dyDescent="0.35">
      <c r="A253" t="s">
        <v>931</v>
      </c>
      <c r="B253" t="s">
        <v>931</v>
      </c>
      <c r="C253" t="s">
        <v>235</v>
      </c>
      <c r="D253" t="s">
        <v>860</v>
      </c>
      <c r="E253" t="s">
        <v>861</v>
      </c>
      <c r="F253">
        <v>94525</v>
      </c>
      <c r="G253" t="s">
        <v>933</v>
      </c>
      <c r="H253" t="s">
        <v>196</v>
      </c>
      <c r="I253">
        <v>8</v>
      </c>
      <c r="J253" t="s">
        <v>934</v>
      </c>
      <c r="K253" t="s">
        <v>931</v>
      </c>
    </row>
    <row r="254" spans="1:11" x14ac:dyDescent="0.35">
      <c r="A254" t="s">
        <v>931</v>
      </c>
      <c r="B254" t="s">
        <v>931</v>
      </c>
      <c r="C254" t="s">
        <v>235</v>
      </c>
      <c r="D254" t="s">
        <v>248</v>
      </c>
      <c r="E254" t="s">
        <v>249</v>
      </c>
      <c r="F254">
        <v>152558</v>
      </c>
      <c r="G254" t="s">
        <v>935</v>
      </c>
      <c r="H254" t="s">
        <v>196</v>
      </c>
      <c r="I254">
        <v>5</v>
      </c>
      <c r="K254" t="s">
        <v>931</v>
      </c>
    </row>
    <row r="255" spans="1:11" x14ac:dyDescent="0.35">
      <c r="A255" t="s">
        <v>931</v>
      </c>
      <c r="B255" t="s">
        <v>931</v>
      </c>
      <c r="C255" t="s">
        <v>235</v>
      </c>
      <c r="D255" t="s">
        <v>252</v>
      </c>
      <c r="E255" t="s">
        <v>253</v>
      </c>
      <c r="F255">
        <v>178446</v>
      </c>
      <c r="G255" t="s">
        <v>936</v>
      </c>
      <c r="H255" t="s">
        <v>196</v>
      </c>
      <c r="I255">
        <v>8</v>
      </c>
      <c r="J255" t="s">
        <v>937</v>
      </c>
      <c r="K255" t="s">
        <v>931</v>
      </c>
    </row>
    <row r="256" spans="1:11" x14ac:dyDescent="0.35">
      <c r="A256" t="s">
        <v>931</v>
      </c>
      <c r="B256" t="s">
        <v>931</v>
      </c>
      <c r="C256" t="s">
        <v>235</v>
      </c>
      <c r="D256" t="s">
        <v>938</v>
      </c>
      <c r="E256" t="s">
        <v>939</v>
      </c>
      <c r="F256">
        <v>186526</v>
      </c>
      <c r="G256" t="s">
        <v>940</v>
      </c>
      <c r="H256" t="s">
        <v>196</v>
      </c>
      <c r="I256">
        <v>5</v>
      </c>
      <c r="K256" t="s">
        <v>931</v>
      </c>
    </row>
    <row r="257" spans="1:11" x14ac:dyDescent="0.35">
      <c r="A257" t="s">
        <v>931</v>
      </c>
      <c r="B257" t="s">
        <v>931</v>
      </c>
      <c r="C257" t="s">
        <v>235</v>
      </c>
      <c r="D257" t="s">
        <v>941</v>
      </c>
      <c r="E257" t="s">
        <v>942</v>
      </c>
      <c r="F257">
        <v>53009</v>
      </c>
      <c r="G257" t="s">
        <v>943</v>
      </c>
      <c r="H257" t="s">
        <v>196</v>
      </c>
      <c r="I257">
        <v>32</v>
      </c>
      <c r="J257" t="s">
        <v>944</v>
      </c>
      <c r="K257" t="s">
        <v>931</v>
      </c>
    </row>
    <row r="258" spans="1:11" x14ac:dyDescent="0.35">
      <c r="A258" t="s">
        <v>931</v>
      </c>
      <c r="B258" t="s">
        <v>931</v>
      </c>
      <c r="C258" t="s">
        <v>235</v>
      </c>
      <c r="D258" t="s">
        <v>945</v>
      </c>
      <c r="E258" t="s">
        <v>946</v>
      </c>
      <c r="F258">
        <v>71523</v>
      </c>
      <c r="G258" t="s">
        <v>947</v>
      </c>
      <c r="H258" t="s">
        <v>196</v>
      </c>
      <c r="I258">
        <v>26</v>
      </c>
      <c r="J258" t="s">
        <v>948</v>
      </c>
      <c r="K258" t="s">
        <v>931</v>
      </c>
    </row>
    <row r="259" spans="1:11" x14ac:dyDescent="0.35">
      <c r="A259" t="s">
        <v>931</v>
      </c>
      <c r="B259" t="s">
        <v>931</v>
      </c>
      <c r="C259" t="s">
        <v>235</v>
      </c>
      <c r="D259" t="s">
        <v>255</v>
      </c>
      <c r="E259" t="s">
        <v>256</v>
      </c>
      <c r="F259">
        <v>54439</v>
      </c>
      <c r="G259" t="s">
        <v>949</v>
      </c>
      <c r="H259" t="s">
        <v>196</v>
      </c>
      <c r="I259">
        <v>9</v>
      </c>
      <c r="J259" t="s">
        <v>950</v>
      </c>
      <c r="K259" t="s">
        <v>931</v>
      </c>
    </row>
    <row r="260" spans="1:11" x14ac:dyDescent="0.35">
      <c r="A260" t="s">
        <v>931</v>
      </c>
      <c r="B260" t="s">
        <v>931</v>
      </c>
      <c r="C260" t="s">
        <v>235</v>
      </c>
      <c r="D260" t="s">
        <v>951</v>
      </c>
      <c r="E260" t="s">
        <v>952</v>
      </c>
      <c r="F260">
        <v>145968</v>
      </c>
      <c r="G260" t="s">
        <v>953</v>
      </c>
      <c r="H260" t="s">
        <v>196</v>
      </c>
      <c r="I260">
        <v>7</v>
      </c>
      <c r="J260" t="s">
        <v>954</v>
      </c>
      <c r="K260" t="s">
        <v>931</v>
      </c>
    </row>
    <row r="261" spans="1:11" x14ac:dyDescent="0.35">
      <c r="A261" t="s">
        <v>931</v>
      </c>
      <c r="B261" t="s">
        <v>931</v>
      </c>
      <c r="C261" t="s">
        <v>235</v>
      </c>
      <c r="D261" t="s">
        <v>955</v>
      </c>
      <c r="E261" t="s">
        <v>956</v>
      </c>
      <c r="F261">
        <v>44091</v>
      </c>
      <c r="G261" t="s">
        <v>957</v>
      </c>
      <c r="H261" t="s">
        <v>196</v>
      </c>
      <c r="I261">
        <v>7</v>
      </c>
      <c r="J261" t="s">
        <v>958</v>
      </c>
      <c r="K261" t="s">
        <v>931</v>
      </c>
    </row>
    <row r="262" spans="1:11" x14ac:dyDescent="0.35">
      <c r="A262" t="s">
        <v>959</v>
      </c>
      <c r="B262" t="s">
        <v>959</v>
      </c>
      <c r="C262" t="s">
        <v>235</v>
      </c>
      <c r="D262" t="s">
        <v>955</v>
      </c>
      <c r="E262" t="s">
        <v>956</v>
      </c>
      <c r="F262">
        <v>51072</v>
      </c>
      <c r="G262" t="s">
        <v>960</v>
      </c>
      <c r="H262" t="s">
        <v>196</v>
      </c>
      <c r="I262">
        <v>2</v>
      </c>
      <c r="K262" t="s">
        <v>959</v>
      </c>
    </row>
    <row r="263" spans="1:11" x14ac:dyDescent="0.35">
      <c r="A263" t="s">
        <v>959</v>
      </c>
      <c r="B263" t="s">
        <v>959</v>
      </c>
      <c r="C263" t="s">
        <v>235</v>
      </c>
      <c r="D263" t="s">
        <v>236</v>
      </c>
      <c r="E263" t="s">
        <v>237</v>
      </c>
      <c r="F263">
        <v>106504</v>
      </c>
      <c r="G263" t="s">
        <v>961</v>
      </c>
      <c r="H263" t="s">
        <v>196</v>
      </c>
      <c r="I263">
        <v>13</v>
      </c>
      <c r="J263" t="s">
        <v>962</v>
      </c>
      <c r="K263" t="s">
        <v>959</v>
      </c>
    </row>
    <row r="264" spans="1:11" x14ac:dyDescent="0.35">
      <c r="A264" t="s">
        <v>959</v>
      </c>
      <c r="B264" t="s">
        <v>959</v>
      </c>
      <c r="C264" t="s">
        <v>235</v>
      </c>
      <c r="D264" t="s">
        <v>938</v>
      </c>
      <c r="E264" t="s">
        <v>939</v>
      </c>
      <c r="F264">
        <v>155600</v>
      </c>
      <c r="G264" t="s">
        <v>963</v>
      </c>
      <c r="H264" t="s">
        <v>196</v>
      </c>
      <c r="I264">
        <v>26</v>
      </c>
      <c r="J264" t="s">
        <v>964</v>
      </c>
      <c r="K264" t="s">
        <v>959</v>
      </c>
    </row>
    <row r="265" spans="1:11" x14ac:dyDescent="0.35">
      <c r="A265" t="s">
        <v>959</v>
      </c>
      <c r="B265" t="s">
        <v>959</v>
      </c>
      <c r="C265" t="s">
        <v>235</v>
      </c>
      <c r="D265" t="s">
        <v>252</v>
      </c>
      <c r="E265" t="s">
        <v>253</v>
      </c>
      <c r="F265">
        <v>171309</v>
      </c>
      <c r="G265" t="s">
        <v>965</v>
      </c>
      <c r="H265" t="s">
        <v>196</v>
      </c>
      <c r="I265">
        <v>16</v>
      </c>
      <c r="J265" t="s">
        <v>966</v>
      </c>
      <c r="K265" t="s">
        <v>959</v>
      </c>
    </row>
    <row r="266" spans="1:11" x14ac:dyDescent="0.35">
      <c r="A266" t="s">
        <v>959</v>
      </c>
      <c r="B266" t="s">
        <v>959</v>
      </c>
      <c r="C266" t="s">
        <v>235</v>
      </c>
      <c r="D266" t="s">
        <v>255</v>
      </c>
      <c r="E266" t="s">
        <v>256</v>
      </c>
      <c r="F266">
        <v>58731</v>
      </c>
      <c r="G266" t="s">
        <v>967</v>
      </c>
      <c r="H266" t="s">
        <v>196</v>
      </c>
      <c r="I266">
        <v>10</v>
      </c>
      <c r="J266" t="s">
        <v>968</v>
      </c>
      <c r="K266" t="s">
        <v>959</v>
      </c>
    </row>
    <row r="267" spans="1:11" x14ac:dyDescent="0.35">
      <c r="A267" t="s">
        <v>959</v>
      </c>
      <c r="B267" t="s">
        <v>959</v>
      </c>
      <c r="C267" t="s">
        <v>235</v>
      </c>
      <c r="D267" t="s">
        <v>969</v>
      </c>
      <c r="E267" t="s">
        <v>970</v>
      </c>
      <c r="F267">
        <v>43597</v>
      </c>
      <c r="G267" t="s">
        <v>971</v>
      </c>
      <c r="H267" t="s">
        <v>196</v>
      </c>
      <c r="I267">
        <v>23</v>
      </c>
      <c r="J267" t="s">
        <v>972</v>
      </c>
      <c r="K267" t="s">
        <v>959</v>
      </c>
    </row>
    <row r="268" spans="1:11" x14ac:dyDescent="0.35">
      <c r="A268" t="s">
        <v>959</v>
      </c>
      <c r="B268" t="s">
        <v>959</v>
      </c>
      <c r="C268" t="s">
        <v>235</v>
      </c>
      <c r="D268" t="s">
        <v>973</v>
      </c>
      <c r="E268" t="s">
        <v>974</v>
      </c>
      <c r="F268">
        <v>213233</v>
      </c>
      <c r="G268" t="s">
        <v>975</v>
      </c>
      <c r="H268" t="s">
        <v>196</v>
      </c>
      <c r="I268">
        <v>10</v>
      </c>
      <c r="J268" t="s">
        <v>976</v>
      </c>
      <c r="K268" t="s">
        <v>959</v>
      </c>
    </row>
    <row r="269" spans="1:11" x14ac:dyDescent="0.35">
      <c r="A269" t="s">
        <v>959</v>
      </c>
      <c r="B269" t="s">
        <v>959</v>
      </c>
      <c r="C269" t="s">
        <v>235</v>
      </c>
      <c r="D269" t="s">
        <v>866</v>
      </c>
      <c r="E269" t="s">
        <v>867</v>
      </c>
      <c r="F269">
        <v>145904</v>
      </c>
      <c r="G269" t="s">
        <v>977</v>
      </c>
      <c r="H269" t="s">
        <v>196</v>
      </c>
      <c r="I269">
        <v>9</v>
      </c>
      <c r="J269" t="s">
        <v>978</v>
      </c>
      <c r="K269" t="s">
        <v>959</v>
      </c>
    </row>
    <row r="270" spans="1:11" x14ac:dyDescent="0.35">
      <c r="A270" t="s">
        <v>959</v>
      </c>
      <c r="B270" t="s">
        <v>959</v>
      </c>
      <c r="C270" t="s">
        <v>235</v>
      </c>
      <c r="D270" t="s">
        <v>979</v>
      </c>
      <c r="E270" t="s">
        <v>980</v>
      </c>
      <c r="F270">
        <v>85110</v>
      </c>
      <c r="G270" t="s">
        <v>981</v>
      </c>
      <c r="H270" t="s">
        <v>196</v>
      </c>
      <c r="I270">
        <v>10</v>
      </c>
      <c r="J270" t="s">
        <v>982</v>
      </c>
      <c r="K270" t="s">
        <v>959</v>
      </c>
    </row>
    <row r="271" spans="1:11" x14ac:dyDescent="0.35">
      <c r="A271" t="s">
        <v>959</v>
      </c>
      <c r="B271" t="s">
        <v>959</v>
      </c>
      <c r="C271" t="s">
        <v>235</v>
      </c>
      <c r="D271" t="s">
        <v>983</v>
      </c>
      <c r="E271" t="s">
        <v>984</v>
      </c>
      <c r="F271">
        <v>90050</v>
      </c>
      <c r="G271" t="s">
        <v>985</v>
      </c>
      <c r="H271" t="s">
        <v>196</v>
      </c>
      <c r="I271">
        <v>8</v>
      </c>
      <c r="J271" t="s">
        <v>986</v>
      </c>
      <c r="K271" t="s">
        <v>959</v>
      </c>
    </row>
    <row r="272" spans="1:11" x14ac:dyDescent="0.35">
      <c r="A272" t="s">
        <v>987</v>
      </c>
      <c r="B272" t="s">
        <v>988</v>
      </c>
      <c r="C272" t="s">
        <v>338</v>
      </c>
      <c r="D272" t="s">
        <v>989</v>
      </c>
      <c r="E272" t="s">
        <v>990</v>
      </c>
      <c r="F272">
        <v>15.64</v>
      </c>
      <c r="G272" t="s">
        <v>991</v>
      </c>
      <c r="H272" t="s">
        <v>43</v>
      </c>
      <c r="I272">
        <v>276</v>
      </c>
      <c r="J272" t="s">
        <v>992</v>
      </c>
      <c r="K272" t="s">
        <v>988</v>
      </c>
    </row>
    <row r="273" spans="1:11" x14ac:dyDescent="0.35">
      <c r="A273" t="s">
        <v>987</v>
      </c>
      <c r="B273" t="s">
        <v>988</v>
      </c>
      <c r="C273" t="s">
        <v>338</v>
      </c>
      <c r="D273" t="s">
        <v>993</v>
      </c>
      <c r="E273" t="s">
        <v>994</v>
      </c>
      <c r="F273">
        <v>18.28</v>
      </c>
      <c r="G273" t="s">
        <v>995</v>
      </c>
      <c r="H273" t="s">
        <v>43</v>
      </c>
      <c r="I273">
        <v>1</v>
      </c>
      <c r="K273" t="s">
        <v>988</v>
      </c>
    </row>
    <row r="274" spans="1:11" x14ac:dyDescent="0.35">
      <c r="A274" t="s">
        <v>987</v>
      </c>
      <c r="B274" t="s">
        <v>988</v>
      </c>
      <c r="C274" t="s">
        <v>338</v>
      </c>
      <c r="D274" t="s">
        <v>125</v>
      </c>
      <c r="E274" t="s">
        <v>126</v>
      </c>
      <c r="F274">
        <v>16.420000000000002</v>
      </c>
      <c r="G274" t="s">
        <v>996</v>
      </c>
      <c r="H274" t="s">
        <v>43</v>
      </c>
      <c r="I274">
        <v>3</v>
      </c>
      <c r="K274" t="s">
        <v>988</v>
      </c>
    </row>
    <row r="275" spans="1:11" x14ac:dyDescent="0.35">
      <c r="A275" t="s">
        <v>987</v>
      </c>
      <c r="B275" t="s">
        <v>988</v>
      </c>
      <c r="C275" t="s">
        <v>338</v>
      </c>
      <c r="D275" t="s">
        <v>997</v>
      </c>
      <c r="E275" t="s">
        <v>998</v>
      </c>
      <c r="F275">
        <v>18.88</v>
      </c>
      <c r="G275" t="s">
        <v>999</v>
      </c>
      <c r="H275" t="s">
        <v>43</v>
      </c>
      <c r="I275">
        <v>2</v>
      </c>
      <c r="K275" t="s">
        <v>988</v>
      </c>
    </row>
    <row r="276" spans="1:11" x14ac:dyDescent="0.35">
      <c r="A276" t="s">
        <v>987</v>
      </c>
      <c r="B276" t="s">
        <v>988</v>
      </c>
      <c r="C276" t="s">
        <v>338</v>
      </c>
      <c r="D276" t="s">
        <v>1000</v>
      </c>
      <c r="E276" t="s">
        <v>1001</v>
      </c>
      <c r="F276">
        <v>35.58</v>
      </c>
      <c r="G276" t="s">
        <v>1002</v>
      </c>
      <c r="H276" t="s">
        <v>43</v>
      </c>
      <c r="I276">
        <v>1</v>
      </c>
      <c r="K276" t="s">
        <v>988</v>
      </c>
    </row>
    <row r="277" spans="1:11" x14ac:dyDescent="0.35">
      <c r="A277" t="s">
        <v>987</v>
      </c>
      <c r="B277" t="s">
        <v>988</v>
      </c>
      <c r="C277" t="s">
        <v>338</v>
      </c>
      <c r="D277" t="s">
        <v>353</v>
      </c>
      <c r="E277" t="s">
        <v>354</v>
      </c>
      <c r="F277">
        <v>13</v>
      </c>
      <c r="G277" t="s">
        <v>1003</v>
      </c>
      <c r="H277" t="s">
        <v>43</v>
      </c>
      <c r="I277">
        <v>1</v>
      </c>
      <c r="K277" t="s">
        <v>988</v>
      </c>
    </row>
    <row r="278" spans="1:11" x14ac:dyDescent="0.35">
      <c r="A278" t="s">
        <v>987</v>
      </c>
      <c r="B278" t="s">
        <v>988</v>
      </c>
      <c r="C278" t="s">
        <v>338</v>
      </c>
      <c r="D278" t="s">
        <v>1004</v>
      </c>
      <c r="E278" t="s">
        <v>1005</v>
      </c>
      <c r="F278">
        <v>16.739999999999998</v>
      </c>
      <c r="G278" t="s">
        <v>1006</v>
      </c>
      <c r="H278" t="s">
        <v>43</v>
      </c>
      <c r="I278">
        <v>1</v>
      </c>
      <c r="K278" t="s">
        <v>988</v>
      </c>
    </row>
    <row r="279" spans="1:11" x14ac:dyDescent="0.35">
      <c r="A279" t="s">
        <v>987</v>
      </c>
      <c r="B279" t="s">
        <v>988</v>
      </c>
      <c r="C279" t="s">
        <v>338</v>
      </c>
      <c r="D279" t="s">
        <v>1007</v>
      </c>
      <c r="E279" t="s">
        <v>1008</v>
      </c>
      <c r="F279">
        <v>8</v>
      </c>
      <c r="G279" t="s">
        <v>1009</v>
      </c>
      <c r="H279" t="s">
        <v>43</v>
      </c>
      <c r="I279">
        <v>1</v>
      </c>
      <c r="K279" t="s">
        <v>988</v>
      </c>
    </row>
    <row r="280" spans="1:11" x14ac:dyDescent="0.35">
      <c r="A280" t="s">
        <v>987</v>
      </c>
      <c r="B280" t="s">
        <v>988</v>
      </c>
      <c r="C280" t="s">
        <v>235</v>
      </c>
      <c r="D280" t="s">
        <v>969</v>
      </c>
      <c r="E280" t="s">
        <v>970</v>
      </c>
      <c r="F280">
        <v>53062</v>
      </c>
      <c r="G280" t="s">
        <v>1010</v>
      </c>
      <c r="H280" t="s">
        <v>196</v>
      </c>
      <c r="I280">
        <v>1</v>
      </c>
      <c r="K280" t="s">
        <v>988</v>
      </c>
    </row>
    <row r="281" spans="1:11" x14ac:dyDescent="0.35">
      <c r="A281" t="s">
        <v>987</v>
      </c>
      <c r="B281" t="s">
        <v>988</v>
      </c>
      <c r="C281" t="s">
        <v>235</v>
      </c>
      <c r="D281" t="s">
        <v>255</v>
      </c>
      <c r="E281" t="s">
        <v>256</v>
      </c>
      <c r="F281">
        <v>31668</v>
      </c>
      <c r="G281" t="s">
        <v>1011</v>
      </c>
      <c r="H281" t="s">
        <v>196</v>
      </c>
      <c r="I281">
        <v>8</v>
      </c>
      <c r="J281" t="s">
        <v>1012</v>
      </c>
      <c r="K281" t="s">
        <v>988</v>
      </c>
    </row>
    <row r="282" spans="1:11" x14ac:dyDescent="0.35">
      <c r="A282" t="s">
        <v>1013</v>
      </c>
      <c r="B282" t="s">
        <v>1013</v>
      </c>
      <c r="C282" t="s">
        <v>529</v>
      </c>
      <c r="D282" t="s">
        <v>1014</v>
      </c>
      <c r="E282" t="s">
        <v>1015</v>
      </c>
      <c r="F282">
        <v>54370</v>
      </c>
      <c r="G282" t="s">
        <v>1016</v>
      </c>
      <c r="H282" t="s">
        <v>196</v>
      </c>
      <c r="I282">
        <v>43</v>
      </c>
      <c r="J282" t="s">
        <v>1017</v>
      </c>
      <c r="K282" t="s">
        <v>1013</v>
      </c>
    </row>
    <row r="283" spans="1:11" x14ac:dyDescent="0.35">
      <c r="A283" t="s">
        <v>1013</v>
      </c>
      <c r="B283" t="s">
        <v>1013</v>
      </c>
      <c r="C283" t="s">
        <v>529</v>
      </c>
      <c r="D283" t="s">
        <v>1018</v>
      </c>
      <c r="E283" t="s">
        <v>1019</v>
      </c>
      <c r="F283">
        <v>112924</v>
      </c>
      <c r="G283" t="s">
        <v>1020</v>
      </c>
      <c r="H283" t="s">
        <v>196</v>
      </c>
      <c r="I283">
        <v>6</v>
      </c>
      <c r="J283" t="s">
        <v>1021</v>
      </c>
      <c r="K283" t="s">
        <v>1013</v>
      </c>
    </row>
    <row r="284" spans="1:11" x14ac:dyDescent="0.35">
      <c r="A284" t="s">
        <v>1013</v>
      </c>
      <c r="B284" t="s">
        <v>1013</v>
      </c>
      <c r="C284" t="s">
        <v>529</v>
      </c>
      <c r="D284" t="s">
        <v>1022</v>
      </c>
      <c r="E284" t="s">
        <v>1023</v>
      </c>
      <c r="F284">
        <v>906</v>
      </c>
      <c r="G284" t="s">
        <v>1024</v>
      </c>
      <c r="H284" t="s">
        <v>1025</v>
      </c>
      <c r="I284">
        <v>10</v>
      </c>
      <c r="J284" t="s">
        <v>1026</v>
      </c>
      <c r="K284" t="s">
        <v>1013</v>
      </c>
    </row>
    <row r="285" spans="1:11" x14ac:dyDescent="0.35">
      <c r="A285" t="s">
        <v>1013</v>
      </c>
      <c r="B285" t="s">
        <v>1013</v>
      </c>
      <c r="C285" t="s">
        <v>529</v>
      </c>
      <c r="D285" t="s">
        <v>1027</v>
      </c>
      <c r="E285" t="s">
        <v>1028</v>
      </c>
      <c r="F285">
        <v>64605</v>
      </c>
      <c r="G285" t="s">
        <v>1029</v>
      </c>
      <c r="H285" t="s">
        <v>196</v>
      </c>
      <c r="I285">
        <v>8</v>
      </c>
      <c r="J285" t="s">
        <v>1030</v>
      </c>
      <c r="K285" t="s">
        <v>1013</v>
      </c>
    </row>
    <row r="286" spans="1:11" x14ac:dyDescent="0.35">
      <c r="A286" t="s">
        <v>1013</v>
      </c>
      <c r="B286" t="s">
        <v>1013</v>
      </c>
      <c r="C286" t="s">
        <v>529</v>
      </c>
      <c r="D286" t="s">
        <v>1031</v>
      </c>
      <c r="E286" t="s">
        <v>1032</v>
      </c>
      <c r="F286">
        <v>102227</v>
      </c>
      <c r="G286" t="s">
        <v>1033</v>
      </c>
      <c r="H286" t="s">
        <v>196</v>
      </c>
      <c r="I286">
        <v>7</v>
      </c>
      <c r="J286" t="s">
        <v>1034</v>
      </c>
      <c r="K286" t="s">
        <v>1013</v>
      </c>
    </row>
    <row r="287" spans="1:11" x14ac:dyDescent="0.35">
      <c r="A287" t="s">
        <v>1013</v>
      </c>
      <c r="B287" t="s">
        <v>1013</v>
      </c>
      <c r="C287" t="s">
        <v>529</v>
      </c>
      <c r="D287" t="s">
        <v>540</v>
      </c>
      <c r="E287" t="s">
        <v>541</v>
      </c>
      <c r="F287">
        <v>109594</v>
      </c>
      <c r="G287" t="s">
        <v>1035</v>
      </c>
      <c r="H287" t="s">
        <v>196</v>
      </c>
      <c r="I287">
        <v>5</v>
      </c>
      <c r="K287" t="s">
        <v>1013</v>
      </c>
    </row>
    <row r="288" spans="1:11" x14ac:dyDescent="0.35">
      <c r="A288" t="s">
        <v>1013</v>
      </c>
      <c r="B288" t="s">
        <v>1013</v>
      </c>
      <c r="C288" t="s">
        <v>529</v>
      </c>
      <c r="D288" t="s">
        <v>1036</v>
      </c>
      <c r="E288" t="s">
        <v>1037</v>
      </c>
      <c r="F288">
        <v>163696</v>
      </c>
      <c r="G288" t="s">
        <v>1038</v>
      </c>
      <c r="H288" t="s">
        <v>196</v>
      </c>
      <c r="I288">
        <v>8</v>
      </c>
      <c r="J288" t="s">
        <v>1039</v>
      </c>
      <c r="K288" t="s">
        <v>1013</v>
      </c>
    </row>
    <row r="289" spans="1:11" x14ac:dyDescent="0.35">
      <c r="A289" t="s">
        <v>1013</v>
      </c>
      <c r="B289" t="s">
        <v>1013</v>
      </c>
      <c r="C289" t="s">
        <v>529</v>
      </c>
      <c r="D289" t="s">
        <v>537</v>
      </c>
      <c r="E289" t="s">
        <v>538</v>
      </c>
      <c r="F289">
        <v>134502</v>
      </c>
      <c r="G289" t="s">
        <v>1040</v>
      </c>
      <c r="H289" t="s">
        <v>196</v>
      </c>
      <c r="I289">
        <v>7</v>
      </c>
      <c r="J289" t="s">
        <v>1041</v>
      </c>
      <c r="K289" t="s">
        <v>1013</v>
      </c>
    </row>
    <row r="290" spans="1:11" x14ac:dyDescent="0.35">
      <c r="A290" t="s">
        <v>1013</v>
      </c>
      <c r="B290" t="s">
        <v>1013</v>
      </c>
      <c r="C290" t="s">
        <v>529</v>
      </c>
      <c r="D290" t="s">
        <v>1042</v>
      </c>
      <c r="E290" t="s">
        <v>1043</v>
      </c>
      <c r="F290">
        <v>582</v>
      </c>
      <c r="G290" t="s">
        <v>1044</v>
      </c>
      <c r="H290" t="s">
        <v>1025</v>
      </c>
      <c r="I290">
        <v>4</v>
      </c>
      <c r="K290" t="s">
        <v>1013</v>
      </c>
    </row>
    <row r="291" spans="1:11" x14ac:dyDescent="0.35">
      <c r="A291" t="s">
        <v>1013</v>
      </c>
      <c r="B291" t="s">
        <v>1013</v>
      </c>
      <c r="C291" t="s">
        <v>529</v>
      </c>
      <c r="D291" t="s">
        <v>1045</v>
      </c>
      <c r="E291" t="s">
        <v>1046</v>
      </c>
      <c r="F291">
        <v>107397</v>
      </c>
      <c r="G291" t="s">
        <v>1047</v>
      </c>
      <c r="H291" t="s">
        <v>196</v>
      </c>
      <c r="I291">
        <v>4</v>
      </c>
      <c r="K291" t="s">
        <v>1013</v>
      </c>
    </row>
    <row r="292" spans="1:11" x14ac:dyDescent="0.35">
      <c r="A292" t="s">
        <v>1048</v>
      </c>
      <c r="B292" t="s">
        <v>1049</v>
      </c>
      <c r="C292" t="s">
        <v>158</v>
      </c>
      <c r="D292" t="s">
        <v>1050</v>
      </c>
      <c r="E292" t="s">
        <v>1051</v>
      </c>
      <c r="F292">
        <v>22.86</v>
      </c>
      <c r="G292" t="s">
        <v>1052</v>
      </c>
      <c r="H292" t="s">
        <v>43</v>
      </c>
      <c r="I292">
        <v>18</v>
      </c>
      <c r="J292" t="s">
        <v>1053</v>
      </c>
      <c r="K292" t="s">
        <v>1048</v>
      </c>
    </row>
    <row r="293" spans="1:11" x14ac:dyDescent="0.35">
      <c r="A293" t="s">
        <v>1048</v>
      </c>
      <c r="B293" t="s">
        <v>1049</v>
      </c>
      <c r="C293" t="s">
        <v>158</v>
      </c>
      <c r="D293" t="s">
        <v>183</v>
      </c>
      <c r="E293" t="s">
        <v>184</v>
      </c>
      <c r="F293">
        <v>20.84</v>
      </c>
      <c r="G293" t="s">
        <v>1054</v>
      </c>
      <c r="H293" t="s">
        <v>43</v>
      </c>
      <c r="I293">
        <v>14</v>
      </c>
      <c r="J293" t="s">
        <v>1055</v>
      </c>
      <c r="K293" t="s">
        <v>1048</v>
      </c>
    </row>
    <row r="294" spans="1:11" x14ac:dyDescent="0.35">
      <c r="A294" t="s">
        <v>1048</v>
      </c>
      <c r="B294" t="s">
        <v>1049</v>
      </c>
      <c r="C294" t="s">
        <v>158</v>
      </c>
      <c r="D294" t="s">
        <v>1056</v>
      </c>
      <c r="E294" t="s">
        <v>1057</v>
      </c>
      <c r="F294">
        <v>25.02</v>
      </c>
      <c r="G294" t="s">
        <v>1058</v>
      </c>
      <c r="H294" t="s">
        <v>43</v>
      </c>
      <c r="I294">
        <v>6</v>
      </c>
      <c r="J294" t="s">
        <v>1059</v>
      </c>
      <c r="K294" t="s">
        <v>1048</v>
      </c>
    </row>
    <row r="295" spans="1:11" x14ac:dyDescent="0.35">
      <c r="A295" t="s">
        <v>1048</v>
      </c>
      <c r="B295" t="s">
        <v>1049</v>
      </c>
      <c r="C295" t="s">
        <v>158</v>
      </c>
      <c r="D295" t="s">
        <v>1060</v>
      </c>
      <c r="E295" t="s">
        <v>1061</v>
      </c>
      <c r="F295">
        <v>53853</v>
      </c>
      <c r="G295" t="s">
        <v>1062</v>
      </c>
      <c r="H295" t="s">
        <v>196</v>
      </c>
      <c r="I295">
        <v>5</v>
      </c>
      <c r="K295" t="s">
        <v>1048</v>
      </c>
    </row>
    <row r="296" spans="1:11" x14ac:dyDescent="0.35">
      <c r="A296" t="s">
        <v>1048</v>
      </c>
      <c r="B296" t="s">
        <v>1049</v>
      </c>
      <c r="C296" t="s">
        <v>158</v>
      </c>
      <c r="D296" t="s">
        <v>1063</v>
      </c>
      <c r="E296" t="s">
        <v>1064</v>
      </c>
      <c r="F296">
        <v>25.48</v>
      </c>
      <c r="G296" t="s">
        <v>1065</v>
      </c>
      <c r="H296" t="s">
        <v>43</v>
      </c>
      <c r="I296">
        <v>8</v>
      </c>
      <c r="J296" t="s">
        <v>1066</v>
      </c>
      <c r="K296" t="s">
        <v>1048</v>
      </c>
    </row>
    <row r="297" spans="1:11" x14ac:dyDescent="0.35">
      <c r="A297" t="s">
        <v>1048</v>
      </c>
      <c r="B297" t="s">
        <v>1049</v>
      </c>
      <c r="C297" t="s">
        <v>158</v>
      </c>
      <c r="D297" t="s">
        <v>175</v>
      </c>
      <c r="E297" t="s">
        <v>176</v>
      </c>
      <c r="F297">
        <v>16.54</v>
      </c>
      <c r="G297" t="s">
        <v>1067</v>
      </c>
      <c r="H297" t="s">
        <v>43</v>
      </c>
      <c r="I297">
        <v>9</v>
      </c>
      <c r="J297" t="s">
        <v>1068</v>
      </c>
      <c r="K297" t="s">
        <v>1048</v>
      </c>
    </row>
    <row r="298" spans="1:11" x14ac:dyDescent="0.35">
      <c r="A298" t="s">
        <v>1048</v>
      </c>
      <c r="B298" t="s">
        <v>1049</v>
      </c>
      <c r="C298" t="s">
        <v>158</v>
      </c>
      <c r="D298" t="s">
        <v>1069</v>
      </c>
      <c r="E298" t="s">
        <v>1070</v>
      </c>
      <c r="F298">
        <v>21.03</v>
      </c>
      <c r="G298" t="s">
        <v>1071</v>
      </c>
      <c r="H298" t="s">
        <v>43</v>
      </c>
      <c r="I298">
        <v>6</v>
      </c>
      <c r="J298" t="s">
        <v>1072</v>
      </c>
      <c r="K298" t="s">
        <v>1048</v>
      </c>
    </row>
    <row r="299" spans="1:11" x14ac:dyDescent="0.35">
      <c r="A299" t="s">
        <v>1048</v>
      </c>
      <c r="B299" t="s">
        <v>1049</v>
      </c>
      <c r="C299" t="s">
        <v>158</v>
      </c>
      <c r="D299" t="s">
        <v>1073</v>
      </c>
      <c r="E299" t="s">
        <v>1074</v>
      </c>
      <c r="F299">
        <v>20.03</v>
      </c>
      <c r="G299" t="s">
        <v>1075</v>
      </c>
      <c r="H299" t="s">
        <v>43</v>
      </c>
      <c r="I299">
        <v>7</v>
      </c>
      <c r="J299" t="s">
        <v>1076</v>
      </c>
      <c r="K299" t="s">
        <v>1048</v>
      </c>
    </row>
    <row r="300" spans="1:11" x14ac:dyDescent="0.35">
      <c r="A300" t="s">
        <v>1048</v>
      </c>
      <c r="B300" t="s">
        <v>1049</v>
      </c>
      <c r="C300" t="s">
        <v>158</v>
      </c>
      <c r="D300" t="s">
        <v>159</v>
      </c>
      <c r="E300" t="s">
        <v>160</v>
      </c>
      <c r="F300">
        <v>15.27</v>
      </c>
      <c r="G300" t="s">
        <v>1077</v>
      </c>
      <c r="H300" t="s">
        <v>43</v>
      </c>
      <c r="I300">
        <v>7</v>
      </c>
      <c r="J300" t="s">
        <v>1078</v>
      </c>
      <c r="K300" t="s">
        <v>1048</v>
      </c>
    </row>
    <row r="301" spans="1:11" x14ac:dyDescent="0.35">
      <c r="A301" t="s">
        <v>1048</v>
      </c>
      <c r="B301" t="s">
        <v>1049</v>
      </c>
      <c r="C301" t="s">
        <v>158</v>
      </c>
      <c r="D301" t="s">
        <v>1079</v>
      </c>
      <c r="E301" t="s">
        <v>1080</v>
      </c>
      <c r="F301">
        <v>20.99</v>
      </c>
      <c r="G301" t="s">
        <v>1081</v>
      </c>
      <c r="H301" t="s">
        <v>43</v>
      </c>
      <c r="I301">
        <v>11</v>
      </c>
      <c r="J301" t="s">
        <v>1082</v>
      </c>
      <c r="K301" t="s">
        <v>1048</v>
      </c>
    </row>
    <row r="302" spans="1:11" x14ac:dyDescent="0.35">
      <c r="A302" t="s">
        <v>1083</v>
      </c>
      <c r="B302" t="s">
        <v>1084</v>
      </c>
      <c r="C302" t="s">
        <v>1085</v>
      </c>
      <c r="D302" t="s">
        <v>1086</v>
      </c>
      <c r="E302" t="s">
        <v>1087</v>
      </c>
      <c r="F302">
        <v>17.05</v>
      </c>
      <c r="G302" t="s">
        <v>1088</v>
      </c>
      <c r="H302" t="s">
        <v>43</v>
      </c>
      <c r="I302">
        <v>445</v>
      </c>
      <c r="J302" t="s">
        <v>1089</v>
      </c>
      <c r="K302" t="s">
        <v>1083</v>
      </c>
    </row>
    <row r="303" spans="1:11" x14ac:dyDescent="0.35">
      <c r="A303" t="s">
        <v>1083</v>
      </c>
      <c r="B303" t="s">
        <v>1084</v>
      </c>
      <c r="C303" t="s">
        <v>1085</v>
      </c>
      <c r="D303" t="s">
        <v>1090</v>
      </c>
      <c r="E303" t="s">
        <v>1091</v>
      </c>
      <c r="F303">
        <v>17.649999999999999</v>
      </c>
      <c r="G303" t="s">
        <v>1092</v>
      </c>
      <c r="H303" t="s">
        <v>43</v>
      </c>
      <c r="I303">
        <v>142</v>
      </c>
      <c r="J303" t="s">
        <v>1093</v>
      </c>
      <c r="K303" t="s">
        <v>1083</v>
      </c>
    </row>
    <row r="304" spans="1:11" x14ac:dyDescent="0.35">
      <c r="A304" t="s">
        <v>1083</v>
      </c>
      <c r="B304" t="s">
        <v>1084</v>
      </c>
      <c r="C304" t="s">
        <v>1085</v>
      </c>
      <c r="D304" t="s">
        <v>1094</v>
      </c>
      <c r="E304" t="s">
        <v>1095</v>
      </c>
      <c r="F304">
        <v>16.93</v>
      </c>
      <c r="G304" t="s">
        <v>1096</v>
      </c>
      <c r="H304" t="s">
        <v>43</v>
      </c>
      <c r="I304">
        <v>42</v>
      </c>
      <c r="J304" t="s">
        <v>1097</v>
      </c>
      <c r="K304" t="s">
        <v>1083</v>
      </c>
    </row>
    <row r="305" spans="1:11" x14ac:dyDescent="0.35">
      <c r="A305" t="s">
        <v>1083</v>
      </c>
      <c r="B305" t="s">
        <v>1084</v>
      </c>
      <c r="C305" t="s">
        <v>1085</v>
      </c>
      <c r="D305" t="s">
        <v>1098</v>
      </c>
      <c r="E305" t="s">
        <v>1099</v>
      </c>
      <c r="F305">
        <v>21.53</v>
      </c>
      <c r="G305" t="s">
        <v>1100</v>
      </c>
      <c r="H305" t="s">
        <v>43</v>
      </c>
      <c r="I305">
        <v>18</v>
      </c>
      <c r="J305" t="s">
        <v>1101</v>
      </c>
      <c r="K305" t="s">
        <v>1083</v>
      </c>
    </row>
    <row r="306" spans="1:11" x14ac:dyDescent="0.35">
      <c r="A306" t="s">
        <v>1083</v>
      </c>
      <c r="B306" t="s">
        <v>1084</v>
      </c>
      <c r="C306" t="s">
        <v>1085</v>
      </c>
      <c r="D306" t="s">
        <v>1102</v>
      </c>
      <c r="E306" t="s">
        <v>1103</v>
      </c>
      <c r="F306">
        <v>12.5</v>
      </c>
      <c r="G306" t="s">
        <v>1104</v>
      </c>
      <c r="H306" t="s">
        <v>43</v>
      </c>
      <c r="I306">
        <v>10</v>
      </c>
      <c r="J306" t="s">
        <v>1105</v>
      </c>
      <c r="K306" t="s">
        <v>1083</v>
      </c>
    </row>
    <row r="307" spans="1:11" x14ac:dyDescent="0.35">
      <c r="A307" t="s">
        <v>1083</v>
      </c>
      <c r="B307" t="s">
        <v>1084</v>
      </c>
      <c r="C307" t="s">
        <v>1085</v>
      </c>
      <c r="D307" t="s">
        <v>1106</v>
      </c>
      <c r="E307" t="s">
        <v>1107</v>
      </c>
      <c r="F307">
        <v>16.98</v>
      </c>
      <c r="G307" t="s">
        <v>1108</v>
      </c>
      <c r="H307" t="s">
        <v>43</v>
      </c>
      <c r="I307">
        <v>5</v>
      </c>
      <c r="K307" t="s">
        <v>1083</v>
      </c>
    </row>
    <row r="308" spans="1:11" x14ac:dyDescent="0.35">
      <c r="A308" t="s">
        <v>1083</v>
      </c>
      <c r="B308" t="s">
        <v>1084</v>
      </c>
      <c r="C308" t="s">
        <v>1085</v>
      </c>
      <c r="D308" t="s">
        <v>1109</v>
      </c>
      <c r="E308" t="s">
        <v>1110</v>
      </c>
      <c r="F308">
        <v>20.88</v>
      </c>
      <c r="G308" t="s">
        <v>1111</v>
      </c>
      <c r="H308" t="s">
        <v>43</v>
      </c>
      <c r="I308">
        <v>5</v>
      </c>
      <c r="K308" t="s">
        <v>1083</v>
      </c>
    </row>
    <row r="309" spans="1:11" x14ac:dyDescent="0.35">
      <c r="A309" t="s">
        <v>1083</v>
      </c>
      <c r="B309" t="s">
        <v>1084</v>
      </c>
      <c r="C309" t="s">
        <v>1085</v>
      </c>
      <c r="D309" t="s">
        <v>1112</v>
      </c>
      <c r="E309" t="s">
        <v>1113</v>
      </c>
      <c r="F309">
        <v>18.760000000000002</v>
      </c>
      <c r="G309" t="s">
        <v>1114</v>
      </c>
      <c r="H309" t="s">
        <v>43</v>
      </c>
      <c r="I309">
        <v>3</v>
      </c>
      <c r="K309" t="s">
        <v>1083</v>
      </c>
    </row>
    <row r="310" spans="1:11" x14ac:dyDescent="0.35">
      <c r="A310" t="s">
        <v>1083</v>
      </c>
      <c r="B310" t="s">
        <v>1084</v>
      </c>
      <c r="C310" t="s">
        <v>1085</v>
      </c>
      <c r="D310" t="s">
        <v>1115</v>
      </c>
      <c r="E310" t="s">
        <v>1116</v>
      </c>
      <c r="F310">
        <v>15.14</v>
      </c>
      <c r="G310" t="s">
        <v>1117</v>
      </c>
      <c r="H310" t="s">
        <v>43</v>
      </c>
      <c r="I310">
        <v>3</v>
      </c>
      <c r="K310" t="s">
        <v>1083</v>
      </c>
    </row>
    <row r="311" spans="1:11" x14ac:dyDescent="0.35">
      <c r="A311" t="s">
        <v>1083</v>
      </c>
      <c r="B311" t="s">
        <v>1084</v>
      </c>
      <c r="C311" t="s">
        <v>1085</v>
      </c>
      <c r="D311" t="s">
        <v>1118</v>
      </c>
      <c r="E311" t="s">
        <v>1119</v>
      </c>
      <c r="F311">
        <v>15</v>
      </c>
      <c r="G311" t="s">
        <v>1120</v>
      </c>
      <c r="H311" t="s">
        <v>43</v>
      </c>
      <c r="I311">
        <v>2</v>
      </c>
      <c r="K311" t="s">
        <v>1083</v>
      </c>
    </row>
    <row r="312" spans="1:11" x14ac:dyDescent="0.35">
      <c r="A312" t="s">
        <v>1121</v>
      </c>
      <c r="B312" t="s">
        <v>1121</v>
      </c>
      <c r="C312" t="s">
        <v>1085</v>
      </c>
      <c r="D312" t="s">
        <v>1086</v>
      </c>
      <c r="E312" t="s">
        <v>1087</v>
      </c>
      <c r="F312">
        <v>19.010000000000002</v>
      </c>
      <c r="G312" t="s">
        <v>1122</v>
      </c>
      <c r="H312" t="s">
        <v>43</v>
      </c>
      <c r="I312">
        <v>153</v>
      </c>
      <c r="J312" t="s">
        <v>1123</v>
      </c>
      <c r="K312" t="s">
        <v>1121</v>
      </c>
    </row>
    <row r="313" spans="1:11" x14ac:dyDescent="0.35">
      <c r="A313" t="s">
        <v>1121</v>
      </c>
      <c r="B313" t="s">
        <v>1121</v>
      </c>
      <c r="C313" t="s">
        <v>1085</v>
      </c>
      <c r="D313" t="s">
        <v>1090</v>
      </c>
      <c r="E313" t="s">
        <v>1091</v>
      </c>
      <c r="F313">
        <v>18.66</v>
      </c>
      <c r="G313" t="s">
        <v>1124</v>
      </c>
      <c r="H313" t="s">
        <v>43</v>
      </c>
      <c r="I313">
        <v>91</v>
      </c>
      <c r="J313" t="s">
        <v>1125</v>
      </c>
      <c r="K313" t="s">
        <v>1121</v>
      </c>
    </row>
    <row r="314" spans="1:11" x14ac:dyDescent="0.35">
      <c r="A314" t="s">
        <v>1121</v>
      </c>
      <c r="B314" t="s">
        <v>1121</v>
      </c>
      <c r="C314" t="s">
        <v>1085</v>
      </c>
      <c r="D314" t="s">
        <v>1102</v>
      </c>
      <c r="E314" t="s">
        <v>1103</v>
      </c>
      <c r="F314">
        <v>15.26</v>
      </c>
      <c r="G314" t="s">
        <v>1126</v>
      </c>
      <c r="H314" t="s">
        <v>43</v>
      </c>
      <c r="I314">
        <v>8</v>
      </c>
      <c r="J314" t="s">
        <v>1127</v>
      </c>
      <c r="K314" t="s">
        <v>1121</v>
      </c>
    </row>
    <row r="315" spans="1:11" x14ac:dyDescent="0.35">
      <c r="A315" t="s">
        <v>1121</v>
      </c>
      <c r="B315" t="s">
        <v>1121</v>
      </c>
      <c r="C315" t="s">
        <v>1085</v>
      </c>
      <c r="D315" t="s">
        <v>1094</v>
      </c>
      <c r="E315" t="s">
        <v>1095</v>
      </c>
      <c r="F315">
        <v>16.72</v>
      </c>
      <c r="G315" t="s">
        <v>1128</v>
      </c>
      <c r="H315" t="s">
        <v>43</v>
      </c>
      <c r="I315">
        <v>15</v>
      </c>
      <c r="J315" t="s">
        <v>1129</v>
      </c>
      <c r="K315" t="s">
        <v>1121</v>
      </c>
    </row>
    <row r="316" spans="1:11" x14ac:dyDescent="0.35">
      <c r="A316" t="s">
        <v>1121</v>
      </c>
      <c r="B316" t="s">
        <v>1121</v>
      </c>
      <c r="C316" t="s">
        <v>1085</v>
      </c>
      <c r="D316" t="s">
        <v>1109</v>
      </c>
      <c r="E316" t="s">
        <v>1110</v>
      </c>
      <c r="F316">
        <v>17.84</v>
      </c>
      <c r="G316" t="s">
        <v>1130</v>
      </c>
      <c r="H316" t="s">
        <v>43</v>
      </c>
      <c r="I316">
        <v>5</v>
      </c>
      <c r="K316" t="s">
        <v>1121</v>
      </c>
    </row>
    <row r="317" spans="1:11" x14ac:dyDescent="0.35">
      <c r="A317" t="s">
        <v>1121</v>
      </c>
      <c r="B317" t="s">
        <v>1121</v>
      </c>
      <c r="C317" t="s">
        <v>1085</v>
      </c>
      <c r="D317" t="s">
        <v>1115</v>
      </c>
      <c r="E317" t="s">
        <v>1116</v>
      </c>
      <c r="F317">
        <v>28.89</v>
      </c>
      <c r="G317" t="s">
        <v>1131</v>
      </c>
      <c r="H317" t="s">
        <v>43</v>
      </c>
      <c r="I317">
        <v>6</v>
      </c>
      <c r="J317" t="s">
        <v>1132</v>
      </c>
      <c r="K317" t="s">
        <v>1121</v>
      </c>
    </row>
    <row r="318" spans="1:11" x14ac:dyDescent="0.35">
      <c r="A318" t="s">
        <v>1121</v>
      </c>
      <c r="B318" t="s">
        <v>1121</v>
      </c>
      <c r="C318" t="s">
        <v>1085</v>
      </c>
      <c r="D318" t="s">
        <v>1106</v>
      </c>
      <c r="E318" t="s">
        <v>1107</v>
      </c>
      <c r="F318">
        <v>14.37</v>
      </c>
      <c r="G318" t="s">
        <v>1133</v>
      </c>
      <c r="H318" t="s">
        <v>43</v>
      </c>
      <c r="I318">
        <v>6</v>
      </c>
      <c r="J318" t="s">
        <v>1134</v>
      </c>
      <c r="K318" t="s">
        <v>1121</v>
      </c>
    </row>
    <row r="319" spans="1:11" x14ac:dyDescent="0.35">
      <c r="A319" t="s">
        <v>1121</v>
      </c>
      <c r="B319" t="s">
        <v>1121</v>
      </c>
      <c r="C319" t="s">
        <v>1085</v>
      </c>
      <c r="D319" t="s">
        <v>1135</v>
      </c>
      <c r="E319" t="s">
        <v>1136</v>
      </c>
      <c r="F319">
        <v>15.97</v>
      </c>
      <c r="G319" t="s">
        <v>1137</v>
      </c>
      <c r="H319" t="s">
        <v>43</v>
      </c>
      <c r="I319">
        <v>2</v>
      </c>
      <c r="K319" t="s">
        <v>1121</v>
      </c>
    </row>
    <row r="320" spans="1:11" x14ac:dyDescent="0.35">
      <c r="A320" t="s">
        <v>1121</v>
      </c>
      <c r="B320" t="s">
        <v>1121</v>
      </c>
      <c r="C320" t="s">
        <v>1085</v>
      </c>
      <c r="D320" t="s">
        <v>1112</v>
      </c>
      <c r="E320" t="s">
        <v>1113</v>
      </c>
      <c r="F320">
        <v>18</v>
      </c>
      <c r="G320" t="s">
        <v>1138</v>
      </c>
      <c r="H320" t="s">
        <v>43</v>
      </c>
      <c r="I320">
        <v>1</v>
      </c>
      <c r="K320" t="s">
        <v>1121</v>
      </c>
    </row>
    <row r="321" spans="1:11" x14ac:dyDescent="0.35">
      <c r="A321" t="s">
        <v>1121</v>
      </c>
      <c r="B321" t="s">
        <v>1121</v>
      </c>
      <c r="C321" t="s">
        <v>1085</v>
      </c>
      <c r="D321" t="s">
        <v>1139</v>
      </c>
      <c r="E321" t="s">
        <v>1140</v>
      </c>
      <c r="F321">
        <v>79844</v>
      </c>
      <c r="G321" t="s">
        <v>1141</v>
      </c>
      <c r="H321" t="s">
        <v>196</v>
      </c>
      <c r="I321">
        <v>1</v>
      </c>
      <c r="K321" t="s">
        <v>1121</v>
      </c>
    </row>
    <row r="322" spans="1:11" x14ac:dyDescent="0.35">
      <c r="A322" t="s">
        <v>1142</v>
      </c>
      <c r="B322" t="s">
        <v>1143</v>
      </c>
      <c r="C322" t="s">
        <v>1144</v>
      </c>
      <c r="D322" t="s">
        <v>1145</v>
      </c>
      <c r="E322" t="s">
        <v>1146</v>
      </c>
      <c r="F322">
        <v>90620</v>
      </c>
      <c r="G322" t="s">
        <v>1147</v>
      </c>
      <c r="H322" t="s">
        <v>196</v>
      </c>
      <c r="I322">
        <v>11</v>
      </c>
      <c r="J322" t="s">
        <v>1148</v>
      </c>
      <c r="K322" t="s">
        <v>1142</v>
      </c>
    </row>
    <row r="323" spans="1:11" x14ac:dyDescent="0.35">
      <c r="A323" t="s">
        <v>1142</v>
      </c>
      <c r="B323" t="s">
        <v>1143</v>
      </c>
      <c r="C323" t="s">
        <v>1144</v>
      </c>
      <c r="D323" t="s">
        <v>1149</v>
      </c>
      <c r="E323" t="s">
        <v>1150</v>
      </c>
      <c r="F323">
        <v>123693</v>
      </c>
      <c r="G323" t="s">
        <v>1151</v>
      </c>
      <c r="H323" t="s">
        <v>196</v>
      </c>
      <c r="I323">
        <v>7</v>
      </c>
      <c r="J323" t="s">
        <v>1152</v>
      </c>
      <c r="K323" t="s">
        <v>1142</v>
      </c>
    </row>
    <row r="324" spans="1:11" x14ac:dyDescent="0.35">
      <c r="A324" t="s">
        <v>1142</v>
      </c>
      <c r="B324" t="s">
        <v>1143</v>
      </c>
      <c r="C324" t="s">
        <v>1144</v>
      </c>
      <c r="D324" t="s">
        <v>1153</v>
      </c>
      <c r="E324" t="s">
        <v>1154</v>
      </c>
      <c r="F324">
        <v>105446</v>
      </c>
      <c r="G324" t="s">
        <v>1155</v>
      </c>
      <c r="H324" t="s">
        <v>196</v>
      </c>
      <c r="I324">
        <v>7</v>
      </c>
      <c r="J324" t="s">
        <v>1156</v>
      </c>
      <c r="K324" t="s">
        <v>1142</v>
      </c>
    </row>
    <row r="325" spans="1:11" x14ac:dyDescent="0.35">
      <c r="A325" t="s">
        <v>1142</v>
      </c>
      <c r="B325" t="s">
        <v>1143</v>
      </c>
      <c r="C325" t="s">
        <v>1144</v>
      </c>
      <c r="D325" t="s">
        <v>1157</v>
      </c>
      <c r="E325" t="s">
        <v>1158</v>
      </c>
      <c r="F325">
        <v>127149</v>
      </c>
      <c r="G325" t="s">
        <v>1159</v>
      </c>
      <c r="H325" t="s">
        <v>196</v>
      </c>
      <c r="I325">
        <v>7</v>
      </c>
      <c r="J325" t="s">
        <v>1160</v>
      </c>
      <c r="K325" t="s">
        <v>1142</v>
      </c>
    </row>
    <row r="326" spans="1:11" x14ac:dyDescent="0.35">
      <c r="A326" t="s">
        <v>1142</v>
      </c>
      <c r="B326" t="s">
        <v>1143</v>
      </c>
      <c r="C326" t="s">
        <v>1144</v>
      </c>
      <c r="D326" t="s">
        <v>1161</v>
      </c>
      <c r="E326" t="s">
        <v>1162</v>
      </c>
      <c r="F326">
        <v>69121</v>
      </c>
      <c r="G326" t="s">
        <v>1163</v>
      </c>
      <c r="H326" t="s">
        <v>196</v>
      </c>
      <c r="I326">
        <v>6</v>
      </c>
      <c r="J326" t="s">
        <v>1164</v>
      </c>
      <c r="K326" t="s">
        <v>1142</v>
      </c>
    </row>
    <row r="327" spans="1:11" x14ac:dyDescent="0.35">
      <c r="A327" t="s">
        <v>1142</v>
      </c>
      <c r="B327" t="s">
        <v>1143</v>
      </c>
      <c r="C327" t="s">
        <v>1144</v>
      </c>
      <c r="D327" t="s">
        <v>1165</v>
      </c>
      <c r="E327" t="s">
        <v>1166</v>
      </c>
      <c r="F327">
        <v>106902</v>
      </c>
      <c r="G327" t="s">
        <v>1167</v>
      </c>
      <c r="H327" t="s">
        <v>196</v>
      </c>
      <c r="I327">
        <v>8</v>
      </c>
      <c r="J327" t="s">
        <v>1168</v>
      </c>
      <c r="K327" t="s">
        <v>1142</v>
      </c>
    </row>
    <row r="328" spans="1:11" x14ac:dyDescent="0.35">
      <c r="A328" t="s">
        <v>1142</v>
      </c>
      <c r="B328" t="s">
        <v>1143</v>
      </c>
      <c r="C328" t="s">
        <v>1144</v>
      </c>
      <c r="D328" t="s">
        <v>1169</v>
      </c>
      <c r="E328" t="s">
        <v>1170</v>
      </c>
      <c r="F328">
        <v>100026</v>
      </c>
      <c r="G328" t="s">
        <v>1171</v>
      </c>
      <c r="H328" t="s">
        <v>196</v>
      </c>
      <c r="I328">
        <v>7</v>
      </c>
      <c r="J328" t="s">
        <v>1172</v>
      </c>
      <c r="K328" t="s">
        <v>1142</v>
      </c>
    </row>
    <row r="329" spans="1:11" x14ac:dyDescent="0.35">
      <c r="A329" t="s">
        <v>1142</v>
      </c>
      <c r="B329" t="s">
        <v>1143</v>
      </c>
      <c r="C329" t="s">
        <v>1144</v>
      </c>
      <c r="D329" t="s">
        <v>1173</v>
      </c>
      <c r="E329" t="s">
        <v>1174</v>
      </c>
      <c r="F329">
        <v>91221</v>
      </c>
      <c r="G329" t="s">
        <v>1175</v>
      </c>
      <c r="H329" t="s">
        <v>196</v>
      </c>
      <c r="I329">
        <v>6</v>
      </c>
      <c r="J329" t="s">
        <v>1176</v>
      </c>
      <c r="K329" t="s">
        <v>1142</v>
      </c>
    </row>
    <row r="330" spans="1:11" x14ac:dyDescent="0.35">
      <c r="A330" t="s">
        <v>1142</v>
      </c>
      <c r="B330" t="s">
        <v>1143</v>
      </c>
      <c r="C330" t="s">
        <v>715</v>
      </c>
      <c r="D330" t="s">
        <v>791</v>
      </c>
      <c r="E330" t="s">
        <v>792</v>
      </c>
      <c r="F330">
        <v>87105</v>
      </c>
      <c r="G330" t="s">
        <v>1177</v>
      </c>
      <c r="H330" t="s">
        <v>196</v>
      </c>
      <c r="I330">
        <v>6</v>
      </c>
      <c r="J330" t="s">
        <v>1178</v>
      </c>
      <c r="K330" t="s">
        <v>1142</v>
      </c>
    </row>
    <row r="331" spans="1:11" x14ac:dyDescent="0.35">
      <c r="A331" t="s">
        <v>1142</v>
      </c>
      <c r="B331" t="s">
        <v>1143</v>
      </c>
      <c r="C331" t="s">
        <v>715</v>
      </c>
      <c r="D331" t="s">
        <v>1179</v>
      </c>
      <c r="E331" t="s">
        <v>1180</v>
      </c>
      <c r="F331">
        <v>65224</v>
      </c>
      <c r="G331" t="s">
        <v>1181</v>
      </c>
      <c r="H331" t="s">
        <v>196</v>
      </c>
      <c r="I331">
        <v>5</v>
      </c>
      <c r="K331" t="s">
        <v>1142</v>
      </c>
    </row>
    <row r="332" spans="1:11" x14ac:dyDescent="0.35">
      <c r="A332" t="s">
        <v>1182</v>
      </c>
      <c r="B332" t="s">
        <v>1182</v>
      </c>
      <c r="C332" t="s">
        <v>1183</v>
      </c>
      <c r="D332" t="s">
        <v>1184</v>
      </c>
      <c r="E332" t="s">
        <v>1185</v>
      </c>
      <c r="F332">
        <v>25.02</v>
      </c>
      <c r="G332" t="s">
        <v>1058</v>
      </c>
      <c r="H332" t="s">
        <v>43</v>
      </c>
      <c r="I332">
        <v>74</v>
      </c>
      <c r="J332" t="s">
        <v>1186</v>
      </c>
      <c r="K332" t="s">
        <v>1182</v>
      </c>
    </row>
    <row r="333" spans="1:11" x14ac:dyDescent="0.35">
      <c r="A333" t="s">
        <v>1182</v>
      </c>
      <c r="B333" t="s">
        <v>1182</v>
      </c>
      <c r="C333" t="s">
        <v>1183</v>
      </c>
      <c r="D333" t="s">
        <v>1187</v>
      </c>
      <c r="E333" t="s">
        <v>1188</v>
      </c>
      <c r="F333">
        <v>32.04</v>
      </c>
      <c r="G333" t="s">
        <v>1189</v>
      </c>
      <c r="H333" t="s">
        <v>43</v>
      </c>
      <c r="I333">
        <v>12</v>
      </c>
      <c r="J333" t="s">
        <v>1190</v>
      </c>
      <c r="K333" t="s">
        <v>1182</v>
      </c>
    </row>
    <row r="334" spans="1:11" x14ac:dyDescent="0.35">
      <c r="A334" t="s">
        <v>1182</v>
      </c>
      <c r="B334" t="s">
        <v>1182</v>
      </c>
      <c r="C334" t="s">
        <v>1183</v>
      </c>
      <c r="D334" t="s">
        <v>1191</v>
      </c>
      <c r="E334" t="s">
        <v>1192</v>
      </c>
      <c r="F334">
        <v>30.18</v>
      </c>
      <c r="G334" t="s">
        <v>1193</v>
      </c>
      <c r="H334" t="s">
        <v>43</v>
      </c>
      <c r="I334">
        <v>28</v>
      </c>
      <c r="J334" t="s">
        <v>1194</v>
      </c>
      <c r="K334" t="s">
        <v>1182</v>
      </c>
    </row>
    <row r="335" spans="1:11" x14ac:dyDescent="0.35">
      <c r="A335" t="s">
        <v>1182</v>
      </c>
      <c r="B335" t="s">
        <v>1182</v>
      </c>
      <c r="C335" t="s">
        <v>1183</v>
      </c>
      <c r="D335" t="s">
        <v>1195</v>
      </c>
      <c r="E335" t="s">
        <v>1196</v>
      </c>
      <c r="F335">
        <v>100843</v>
      </c>
      <c r="G335" t="s">
        <v>1197</v>
      </c>
      <c r="H335" t="s">
        <v>196</v>
      </c>
      <c r="I335">
        <v>9</v>
      </c>
      <c r="J335" t="s">
        <v>1198</v>
      </c>
      <c r="K335" t="s">
        <v>1182</v>
      </c>
    </row>
    <row r="336" spans="1:11" x14ac:dyDescent="0.35">
      <c r="A336" t="s">
        <v>1182</v>
      </c>
      <c r="B336" t="s">
        <v>1182</v>
      </c>
      <c r="C336" t="s">
        <v>1183</v>
      </c>
      <c r="D336" t="s">
        <v>1199</v>
      </c>
      <c r="E336" t="s">
        <v>1200</v>
      </c>
      <c r="F336">
        <v>36.06</v>
      </c>
      <c r="G336" t="s">
        <v>1201</v>
      </c>
      <c r="H336" t="s">
        <v>43</v>
      </c>
      <c r="I336">
        <v>1</v>
      </c>
      <c r="K336" t="s">
        <v>1182</v>
      </c>
    </row>
    <row r="337" spans="1:11" x14ac:dyDescent="0.35">
      <c r="A337" t="s">
        <v>1182</v>
      </c>
      <c r="B337" t="s">
        <v>1182</v>
      </c>
      <c r="C337" t="s">
        <v>1183</v>
      </c>
      <c r="D337" t="s">
        <v>1202</v>
      </c>
      <c r="E337" t="s">
        <v>1203</v>
      </c>
      <c r="F337">
        <v>40.98</v>
      </c>
      <c r="G337" t="s">
        <v>1204</v>
      </c>
      <c r="H337" t="s">
        <v>43</v>
      </c>
      <c r="I337">
        <v>11</v>
      </c>
      <c r="J337" t="s">
        <v>1205</v>
      </c>
      <c r="K337" t="s">
        <v>1182</v>
      </c>
    </row>
    <row r="338" spans="1:11" x14ac:dyDescent="0.35">
      <c r="A338" t="s">
        <v>1182</v>
      </c>
      <c r="B338" t="s">
        <v>1182</v>
      </c>
      <c r="C338" t="s">
        <v>1183</v>
      </c>
      <c r="D338" t="s">
        <v>1206</v>
      </c>
      <c r="E338" t="s">
        <v>1207</v>
      </c>
      <c r="F338">
        <v>20.95</v>
      </c>
      <c r="G338" t="s">
        <v>1208</v>
      </c>
      <c r="H338" t="s">
        <v>43</v>
      </c>
      <c r="I338">
        <v>7</v>
      </c>
      <c r="J338" t="s">
        <v>1209</v>
      </c>
      <c r="K338" t="s">
        <v>1182</v>
      </c>
    </row>
    <row r="339" spans="1:11" x14ac:dyDescent="0.35">
      <c r="A339" t="s">
        <v>1182</v>
      </c>
      <c r="B339" t="s">
        <v>1182</v>
      </c>
      <c r="C339" t="s">
        <v>1183</v>
      </c>
      <c r="D339" t="s">
        <v>1210</v>
      </c>
      <c r="E339" t="s">
        <v>1211</v>
      </c>
      <c r="F339">
        <v>33.869999999999997</v>
      </c>
      <c r="G339" t="s">
        <v>1212</v>
      </c>
      <c r="H339" t="s">
        <v>43</v>
      </c>
      <c r="I339">
        <v>9</v>
      </c>
      <c r="J339" t="s">
        <v>1213</v>
      </c>
      <c r="K339" t="s">
        <v>1182</v>
      </c>
    </row>
    <row r="340" spans="1:11" x14ac:dyDescent="0.35">
      <c r="A340" t="s">
        <v>1182</v>
      </c>
      <c r="B340" t="s">
        <v>1182</v>
      </c>
      <c r="C340" t="s">
        <v>1183</v>
      </c>
      <c r="D340" t="s">
        <v>1214</v>
      </c>
      <c r="E340" t="s">
        <v>1215</v>
      </c>
      <c r="F340">
        <v>20.18</v>
      </c>
      <c r="G340" t="s">
        <v>1216</v>
      </c>
      <c r="H340" t="s">
        <v>43</v>
      </c>
      <c r="I340">
        <v>7</v>
      </c>
      <c r="J340" t="s">
        <v>1217</v>
      </c>
      <c r="K340" t="s">
        <v>1182</v>
      </c>
    </row>
    <row r="341" spans="1:11" x14ac:dyDescent="0.35">
      <c r="A341" t="s">
        <v>1182</v>
      </c>
      <c r="B341" t="s">
        <v>1182</v>
      </c>
      <c r="C341" t="s">
        <v>1183</v>
      </c>
      <c r="D341" t="s">
        <v>1218</v>
      </c>
      <c r="E341" t="s">
        <v>1219</v>
      </c>
      <c r="F341">
        <v>30.39</v>
      </c>
      <c r="G341" t="s">
        <v>1220</v>
      </c>
      <c r="H341" t="s">
        <v>43</v>
      </c>
      <c r="I341">
        <v>9</v>
      </c>
      <c r="J341" t="s">
        <v>1221</v>
      </c>
      <c r="K341" t="s">
        <v>1182</v>
      </c>
    </row>
    <row r="342" spans="1:11" x14ac:dyDescent="0.35">
      <c r="A342" t="s">
        <v>1222</v>
      </c>
      <c r="B342" t="s">
        <v>1223</v>
      </c>
      <c r="C342" t="s">
        <v>338</v>
      </c>
      <c r="D342" t="s">
        <v>1224</v>
      </c>
      <c r="E342" t="s">
        <v>1225</v>
      </c>
      <c r="F342">
        <v>105032</v>
      </c>
      <c r="G342" t="s">
        <v>1226</v>
      </c>
      <c r="H342" t="s">
        <v>196</v>
      </c>
      <c r="I342">
        <v>40</v>
      </c>
      <c r="J342" t="s">
        <v>1227</v>
      </c>
      <c r="K342" t="s">
        <v>1222</v>
      </c>
    </row>
    <row r="343" spans="1:11" x14ac:dyDescent="0.35">
      <c r="A343" t="s">
        <v>1222</v>
      </c>
      <c r="B343" t="s">
        <v>1223</v>
      </c>
      <c r="C343" t="s">
        <v>338</v>
      </c>
      <c r="D343" t="s">
        <v>1228</v>
      </c>
      <c r="E343" t="s">
        <v>1229</v>
      </c>
      <c r="F343">
        <v>40.81</v>
      </c>
      <c r="G343" t="s">
        <v>1230</v>
      </c>
      <c r="H343" t="s">
        <v>43</v>
      </c>
      <c r="I343">
        <v>10</v>
      </c>
      <c r="J343" t="s">
        <v>1231</v>
      </c>
      <c r="K343" t="s">
        <v>1222</v>
      </c>
    </row>
    <row r="344" spans="1:11" x14ac:dyDescent="0.35">
      <c r="A344" t="s">
        <v>1222</v>
      </c>
      <c r="B344" t="s">
        <v>1223</v>
      </c>
      <c r="C344" t="s">
        <v>338</v>
      </c>
      <c r="D344" t="s">
        <v>1232</v>
      </c>
      <c r="E344" t="s">
        <v>1233</v>
      </c>
      <c r="F344">
        <v>41.43</v>
      </c>
      <c r="G344" t="s">
        <v>1234</v>
      </c>
      <c r="H344" t="s">
        <v>43</v>
      </c>
      <c r="I344">
        <v>7</v>
      </c>
      <c r="J344" t="s">
        <v>1235</v>
      </c>
      <c r="K344" t="s">
        <v>1222</v>
      </c>
    </row>
    <row r="345" spans="1:11" x14ac:dyDescent="0.35">
      <c r="A345" t="s">
        <v>1222</v>
      </c>
      <c r="B345" t="s">
        <v>1223</v>
      </c>
      <c r="C345" t="s">
        <v>338</v>
      </c>
      <c r="D345" t="s">
        <v>1236</v>
      </c>
      <c r="E345" t="s">
        <v>1237</v>
      </c>
      <c r="F345">
        <v>39.130000000000003</v>
      </c>
      <c r="G345" t="s">
        <v>1238</v>
      </c>
      <c r="H345" t="s">
        <v>43</v>
      </c>
      <c r="I345">
        <v>7</v>
      </c>
      <c r="J345" t="s">
        <v>1239</v>
      </c>
      <c r="K345" t="s">
        <v>1222</v>
      </c>
    </row>
    <row r="346" spans="1:11" x14ac:dyDescent="0.35">
      <c r="A346" t="s">
        <v>1222</v>
      </c>
      <c r="B346" t="s">
        <v>1223</v>
      </c>
      <c r="C346" t="s">
        <v>338</v>
      </c>
      <c r="D346" t="s">
        <v>1240</v>
      </c>
      <c r="E346" t="s">
        <v>1241</v>
      </c>
      <c r="F346">
        <v>37.380000000000003</v>
      </c>
      <c r="G346" t="s">
        <v>1242</v>
      </c>
      <c r="H346" t="s">
        <v>43</v>
      </c>
      <c r="I346">
        <v>9</v>
      </c>
      <c r="J346" t="s">
        <v>1243</v>
      </c>
      <c r="K346" t="s">
        <v>1222</v>
      </c>
    </row>
    <row r="347" spans="1:11" x14ac:dyDescent="0.35">
      <c r="A347" t="s">
        <v>1222</v>
      </c>
      <c r="B347" t="s">
        <v>1223</v>
      </c>
      <c r="C347" t="s">
        <v>338</v>
      </c>
      <c r="D347" t="s">
        <v>1244</v>
      </c>
      <c r="E347" t="s">
        <v>1245</v>
      </c>
      <c r="F347">
        <v>29.54</v>
      </c>
      <c r="G347" t="s">
        <v>1246</v>
      </c>
      <c r="H347" t="s">
        <v>43</v>
      </c>
      <c r="I347">
        <v>7</v>
      </c>
      <c r="J347" t="s">
        <v>1247</v>
      </c>
      <c r="K347" t="s">
        <v>1222</v>
      </c>
    </row>
    <row r="348" spans="1:11" x14ac:dyDescent="0.35">
      <c r="A348" t="s">
        <v>1222</v>
      </c>
      <c r="B348" t="s">
        <v>1223</v>
      </c>
      <c r="C348" t="s">
        <v>338</v>
      </c>
      <c r="D348" t="s">
        <v>1248</v>
      </c>
      <c r="E348" t="s">
        <v>1249</v>
      </c>
      <c r="F348">
        <v>20.98</v>
      </c>
      <c r="G348" t="s">
        <v>1250</v>
      </c>
      <c r="H348" t="s">
        <v>43</v>
      </c>
      <c r="I348">
        <v>3</v>
      </c>
      <c r="K348" t="s">
        <v>1222</v>
      </c>
    </row>
    <row r="349" spans="1:11" x14ac:dyDescent="0.35">
      <c r="A349" t="s">
        <v>1222</v>
      </c>
      <c r="B349" t="s">
        <v>1223</v>
      </c>
      <c r="C349" t="s">
        <v>338</v>
      </c>
      <c r="D349" t="s">
        <v>1251</v>
      </c>
      <c r="E349" t="s">
        <v>1252</v>
      </c>
      <c r="F349">
        <v>54242</v>
      </c>
      <c r="G349" t="s">
        <v>1253</v>
      </c>
      <c r="H349" t="s">
        <v>196</v>
      </c>
      <c r="I349">
        <v>10</v>
      </c>
      <c r="J349" t="s">
        <v>1254</v>
      </c>
      <c r="K349" t="s">
        <v>1222</v>
      </c>
    </row>
    <row r="350" spans="1:11" x14ac:dyDescent="0.35">
      <c r="A350" t="s">
        <v>1222</v>
      </c>
      <c r="B350" t="s">
        <v>1223</v>
      </c>
      <c r="C350" t="s">
        <v>338</v>
      </c>
      <c r="D350" t="s">
        <v>1255</v>
      </c>
      <c r="E350" t="s">
        <v>1256</v>
      </c>
      <c r="F350">
        <v>38.36</v>
      </c>
      <c r="G350" t="s">
        <v>1257</v>
      </c>
      <c r="H350" t="s">
        <v>43</v>
      </c>
      <c r="I350">
        <v>6</v>
      </c>
      <c r="J350" t="s">
        <v>1258</v>
      </c>
      <c r="K350" t="s">
        <v>1222</v>
      </c>
    </row>
    <row r="351" spans="1:11" x14ac:dyDescent="0.35">
      <c r="A351" t="s">
        <v>1222</v>
      </c>
      <c r="B351" t="s">
        <v>1223</v>
      </c>
      <c r="C351" t="s">
        <v>338</v>
      </c>
      <c r="D351" t="s">
        <v>1259</v>
      </c>
      <c r="E351" t="s">
        <v>1260</v>
      </c>
      <c r="F351">
        <v>38.93</v>
      </c>
      <c r="G351" t="s">
        <v>1261</v>
      </c>
      <c r="H351" t="s">
        <v>43</v>
      </c>
      <c r="I351">
        <v>9</v>
      </c>
      <c r="J351" t="s">
        <v>1262</v>
      </c>
      <c r="K351" t="s">
        <v>1222</v>
      </c>
    </row>
    <row r="352" spans="1:11" x14ac:dyDescent="0.35">
      <c r="A352" t="s">
        <v>1263</v>
      </c>
      <c r="B352" t="s">
        <v>1264</v>
      </c>
      <c r="C352" t="s">
        <v>1144</v>
      </c>
      <c r="D352" t="s">
        <v>1153</v>
      </c>
      <c r="E352" t="s">
        <v>1154</v>
      </c>
      <c r="F352">
        <v>94355</v>
      </c>
      <c r="G352" t="s">
        <v>1265</v>
      </c>
      <c r="H352" t="s">
        <v>196</v>
      </c>
      <c r="I352">
        <v>16</v>
      </c>
      <c r="J352" t="s">
        <v>1266</v>
      </c>
      <c r="K352" t="s">
        <v>1267</v>
      </c>
    </row>
    <row r="353" spans="1:11" x14ac:dyDescent="0.35">
      <c r="A353" t="s">
        <v>1263</v>
      </c>
      <c r="B353" t="s">
        <v>1264</v>
      </c>
      <c r="C353" t="s">
        <v>1144</v>
      </c>
      <c r="D353" t="s">
        <v>1145</v>
      </c>
      <c r="E353" t="s">
        <v>1146</v>
      </c>
      <c r="F353">
        <v>91418</v>
      </c>
      <c r="G353" t="s">
        <v>1268</v>
      </c>
      <c r="H353" t="s">
        <v>196</v>
      </c>
      <c r="I353">
        <v>18</v>
      </c>
      <c r="J353" t="s">
        <v>1269</v>
      </c>
      <c r="K353" t="s">
        <v>1267</v>
      </c>
    </row>
    <row r="354" spans="1:11" x14ac:dyDescent="0.35">
      <c r="A354" t="s">
        <v>1263</v>
      </c>
      <c r="B354" t="s">
        <v>1264</v>
      </c>
      <c r="C354" t="s">
        <v>1144</v>
      </c>
      <c r="D354" t="s">
        <v>1157</v>
      </c>
      <c r="E354" t="s">
        <v>1158</v>
      </c>
      <c r="F354">
        <v>103843</v>
      </c>
      <c r="G354" t="s">
        <v>1270</v>
      </c>
      <c r="H354" t="s">
        <v>196</v>
      </c>
      <c r="I354">
        <v>8</v>
      </c>
      <c r="J354" t="s">
        <v>1271</v>
      </c>
      <c r="K354" t="s">
        <v>1267</v>
      </c>
    </row>
    <row r="355" spans="1:11" x14ac:dyDescent="0.35">
      <c r="A355" t="s">
        <v>1263</v>
      </c>
      <c r="B355" t="s">
        <v>1264</v>
      </c>
      <c r="C355" t="s">
        <v>1144</v>
      </c>
      <c r="D355" t="s">
        <v>1272</v>
      </c>
      <c r="E355" t="s">
        <v>1273</v>
      </c>
      <c r="F355">
        <v>120217</v>
      </c>
      <c r="G355" t="s">
        <v>1274</v>
      </c>
      <c r="H355" t="s">
        <v>196</v>
      </c>
      <c r="I355">
        <v>40</v>
      </c>
      <c r="J355" t="s">
        <v>1275</v>
      </c>
      <c r="K355" t="s">
        <v>1267</v>
      </c>
    </row>
    <row r="356" spans="1:11" x14ac:dyDescent="0.35">
      <c r="A356" t="s">
        <v>1263</v>
      </c>
      <c r="B356" t="s">
        <v>1264</v>
      </c>
      <c r="C356" t="s">
        <v>1144</v>
      </c>
      <c r="D356" t="s">
        <v>1149</v>
      </c>
      <c r="E356" t="s">
        <v>1150</v>
      </c>
      <c r="F356">
        <v>107692</v>
      </c>
      <c r="G356" t="s">
        <v>1276</v>
      </c>
      <c r="H356" t="s">
        <v>196</v>
      </c>
      <c r="I356">
        <v>20</v>
      </c>
      <c r="J356" t="s">
        <v>1277</v>
      </c>
      <c r="K356" t="s">
        <v>1267</v>
      </c>
    </row>
    <row r="357" spans="1:11" x14ac:dyDescent="0.35">
      <c r="A357" t="s">
        <v>1263</v>
      </c>
      <c r="B357" t="s">
        <v>1264</v>
      </c>
      <c r="C357" t="s">
        <v>1144</v>
      </c>
      <c r="D357" t="s">
        <v>1173</v>
      </c>
      <c r="E357" t="s">
        <v>1174</v>
      </c>
      <c r="F357">
        <v>106662</v>
      </c>
      <c r="G357" t="s">
        <v>1278</v>
      </c>
      <c r="H357" t="s">
        <v>196</v>
      </c>
      <c r="I357">
        <v>10</v>
      </c>
      <c r="J357" t="s">
        <v>1279</v>
      </c>
      <c r="K357" t="s">
        <v>1267</v>
      </c>
    </row>
    <row r="358" spans="1:11" x14ac:dyDescent="0.35">
      <c r="A358" t="s">
        <v>1263</v>
      </c>
      <c r="B358" t="s">
        <v>1264</v>
      </c>
      <c r="C358" t="s">
        <v>1144</v>
      </c>
      <c r="D358" t="s">
        <v>1280</v>
      </c>
      <c r="E358" t="s">
        <v>1281</v>
      </c>
      <c r="F358">
        <v>100891</v>
      </c>
      <c r="G358" t="s">
        <v>1282</v>
      </c>
      <c r="H358" t="s">
        <v>196</v>
      </c>
      <c r="I358">
        <v>29</v>
      </c>
      <c r="J358" t="s">
        <v>1283</v>
      </c>
      <c r="K358" t="s">
        <v>1267</v>
      </c>
    </row>
    <row r="359" spans="1:11" x14ac:dyDescent="0.35">
      <c r="A359" t="s">
        <v>1263</v>
      </c>
      <c r="B359" t="s">
        <v>1264</v>
      </c>
      <c r="C359" t="s">
        <v>1144</v>
      </c>
      <c r="D359" t="s">
        <v>1284</v>
      </c>
      <c r="E359" t="s">
        <v>1285</v>
      </c>
      <c r="F359">
        <v>160384</v>
      </c>
      <c r="G359" t="s">
        <v>1286</v>
      </c>
      <c r="H359" t="s">
        <v>196</v>
      </c>
      <c r="I359">
        <v>14</v>
      </c>
      <c r="J359" t="s">
        <v>1287</v>
      </c>
      <c r="K359" t="s">
        <v>1267</v>
      </c>
    </row>
    <row r="360" spans="1:11" x14ac:dyDescent="0.35">
      <c r="A360" t="s">
        <v>1263</v>
      </c>
      <c r="B360" t="s">
        <v>1264</v>
      </c>
      <c r="C360" t="s">
        <v>1144</v>
      </c>
      <c r="D360" t="s">
        <v>1288</v>
      </c>
      <c r="E360" t="s">
        <v>1289</v>
      </c>
      <c r="F360">
        <v>198469</v>
      </c>
      <c r="G360" t="s">
        <v>1290</v>
      </c>
      <c r="H360" t="s">
        <v>196</v>
      </c>
      <c r="I360">
        <v>20</v>
      </c>
      <c r="J360" t="s">
        <v>1291</v>
      </c>
      <c r="K360" t="s">
        <v>1267</v>
      </c>
    </row>
    <row r="361" spans="1:11" x14ac:dyDescent="0.35">
      <c r="A361" t="s">
        <v>1263</v>
      </c>
      <c r="B361" t="s">
        <v>1264</v>
      </c>
      <c r="C361" t="s">
        <v>1144</v>
      </c>
      <c r="D361" t="s">
        <v>1292</v>
      </c>
      <c r="E361" t="s">
        <v>1293</v>
      </c>
      <c r="F361">
        <v>131743</v>
      </c>
      <c r="G361" t="s">
        <v>1294</v>
      </c>
      <c r="H361" t="s">
        <v>196</v>
      </c>
      <c r="I361">
        <v>15</v>
      </c>
      <c r="J361" t="s">
        <v>1295</v>
      </c>
      <c r="K361" t="s">
        <v>1267</v>
      </c>
    </row>
    <row r="362" spans="1:11" x14ac:dyDescent="0.35">
      <c r="A362" t="s">
        <v>1296</v>
      </c>
      <c r="B362" t="s">
        <v>1297</v>
      </c>
      <c r="C362" t="s">
        <v>235</v>
      </c>
      <c r="D362" t="s">
        <v>236</v>
      </c>
      <c r="E362" t="s">
        <v>237</v>
      </c>
      <c r="F362">
        <v>147025</v>
      </c>
      <c r="G362" t="s">
        <v>1298</v>
      </c>
      <c r="H362" t="s">
        <v>196</v>
      </c>
      <c r="I362">
        <v>7</v>
      </c>
      <c r="J362" t="s">
        <v>1299</v>
      </c>
      <c r="K362" t="s">
        <v>1296</v>
      </c>
    </row>
    <row r="363" spans="1:11" x14ac:dyDescent="0.35">
      <c r="A363" t="s">
        <v>1296</v>
      </c>
      <c r="B363" t="s">
        <v>1297</v>
      </c>
      <c r="C363" t="s">
        <v>235</v>
      </c>
      <c r="D363" t="s">
        <v>240</v>
      </c>
      <c r="E363" t="s">
        <v>241</v>
      </c>
      <c r="F363">
        <v>144506</v>
      </c>
      <c r="G363" t="s">
        <v>1300</v>
      </c>
      <c r="H363" t="s">
        <v>196</v>
      </c>
      <c r="I363">
        <v>9</v>
      </c>
      <c r="J363" t="s">
        <v>1301</v>
      </c>
      <c r="K363" t="s">
        <v>1296</v>
      </c>
    </row>
    <row r="364" spans="1:11" x14ac:dyDescent="0.35">
      <c r="A364" t="s">
        <v>1296</v>
      </c>
      <c r="B364" t="s">
        <v>1297</v>
      </c>
      <c r="C364" t="s">
        <v>235</v>
      </c>
      <c r="D364" t="s">
        <v>1302</v>
      </c>
      <c r="E364" t="s">
        <v>1303</v>
      </c>
      <c r="F364">
        <v>80463</v>
      </c>
      <c r="G364" t="s">
        <v>1304</v>
      </c>
      <c r="H364" t="s">
        <v>196</v>
      </c>
      <c r="I364">
        <v>6</v>
      </c>
      <c r="J364" t="s">
        <v>1305</v>
      </c>
      <c r="K364" t="s">
        <v>1296</v>
      </c>
    </row>
    <row r="365" spans="1:11" x14ac:dyDescent="0.35">
      <c r="A365" t="s">
        <v>1296</v>
      </c>
      <c r="B365" t="s">
        <v>1297</v>
      </c>
      <c r="C365" t="s">
        <v>235</v>
      </c>
      <c r="D365" t="s">
        <v>252</v>
      </c>
      <c r="E365" t="s">
        <v>253</v>
      </c>
      <c r="F365">
        <v>213667</v>
      </c>
      <c r="G365" t="s">
        <v>1306</v>
      </c>
      <c r="H365" t="s">
        <v>196</v>
      </c>
      <c r="I365">
        <v>11</v>
      </c>
      <c r="J365" t="s">
        <v>1307</v>
      </c>
      <c r="K365" t="s">
        <v>1296</v>
      </c>
    </row>
    <row r="366" spans="1:11" x14ac:dyDescent="0.35">
      <c r="A366" t="s">
        <v>1296</v>
      </c>
      <c r="B366" t="s">
        <v>1297</v>
      </c>
      <c r="C366" t="s">
        <v>235</v>
      </c>
      <c r="D366" t="s">
        <v>1308</v>
      </c>
      <c r="E366" t="s">
        <v>1309</v>
      </c>
      <c r="F366">
        <v>75982</v>
      </c>
      <c r="G366" t="s">
        <v>1310</v>
      </c>
      <c r="H366" t="s">
        <v>196</v>
      </c>
      <c r="I366">
        <v>5</v>
      </c>
      <c r="K366" t="s">
        <v>1296</v>
      </c>
    </row>
    <row r="367" spans="1:11" x14ac:dyDescent="0.35">
      <c r="A367" t="s">
        <v>1296</v>
      </c>
      <c r="B367" t="s">
        <v>1297</v>
      </c>
      <c r="C367" t="s">
        <v>235</v>
      </c>
      <c r="D367" t="s">
        <v>866</v>
      </c>
      <c r="E367" t="s">
        <v>867</v>
      </c>
      <c r="F367">
        <v>133203</v>
      </c>
      <c r="G367" t="s">
        <v>1311</v>
      </c>
      <c r="H367" t="s">
        <v>196</v>
      </c>
      <c r="I367">
        <v>10</v>
      </c>
      <c r="J367" t="s">
        <v>1312</v>
      </c>
      <c r="K367" t="s">
        <v>1296</v>
      </c>
    </row>
    <row r="368" spans="1:11" x14ac:dyDescent="0.35">
      <c r="A368" t="s">
        <v>1296</v>
      </c>
      <c r="B368" t="s">
        <v>1297</v>
      </c>
      <c r="C368" t="s">
        <v>235</v>
      </c>
      <c r="D368" t="s">
        <v>1313</v>
      </c>
      <c r="E368" t="s">
        <v>1314</v>
      </c>
      <c r="F368">
        <v>104575</v>
      </c>
      <c r="G368" t="s">
        <v>1315</v>
      </c>
      <c r="H368" t="s">
        <v>196</v>
      </c>
      <c r="I368">
        <v>8</v>
      </c>
      <c r="J368" t="s">
        <v>1316</v>
      </c>
      <c r="K368" t="s">
        <v>1296</v>
      </c>
    </row>
    <row r="369" spans="1:11" x14ac:dyDescent="0.35">
      <c r="A369" t="s">
        <v>1296</v>
      </c>
      <c r="B369" t="s">
        <v>1297</v>
      </c>
      <c r="C369" t="s">
        <v>235</v>
      </c>
      <c r="D369" t="s">
        <v>1317</v>
      </c>
      <c r="E369" t="s">
        <v>1318</v>
      </c>
      <c r="F369">
        <v>142652</v>
      </c>
      <c r="G369" t="s">
        <v>1319</v>
      </c>
      <c r="H369" t="s">
        <v>196</v>
      </c>
      <c r="I369">
        <v>13</v>
      </c>
      <c r="J369" t="s">
        <v>1320</v>
      </c>
      <c r="K369" t="s">
        <v>1296</v>
      </c>
    </row>
    <row r="370" spans="1:11" x14ac:dyDescent="0.35">
      <c r="A370" t="s">
        <v>1296</v>
      </c>
      <c r="B370" t="s">
        <v>1297</v>
      </c>
      <c r="C370" t="s">
        <v>235</v>
      </c>
      <c r="D370" t="s">
        <v>1321</v>
      </c>
      <c r="E370" t="s">
        <v>1322</v>
      </c>
      <c r="F370">
        <v>111032</v>
      </c>
      <c r="G370" t="s">
        <v>1323</v>
      </c>
      <c r="H370" t="s">
        <v>196</v>
      </c>
      <c r="I370">
        <v>5</v>
      </c>
      <c r="K370" t="s">
        <v>1296</v>
      </c>
    </row>
    <row r="371" spans="1:11" x14ac:dyDescent="0.35">
      <c r="A371" t="s">
        <v>1296</v>
      </c>
      <c r="B371" t="s">
        <v>1297</v>
      </c>
      <c r="C371" t="s">
        <v>235</v>
      </c>
      <c r="D371" t="s">
        <v>248</v>
      </c>
      <c r="E371" t="s">
        <v>249</v>
      </c>
      <c r="F371">
        <v>182081</v>
      </c>
      <c r="G371" t="s">
        <v>1324</v>
      </c>
      <c r="H371" t="s">
        <v>196</v>
      </c>
      <c r="I371">
        <v>5</v>
      </c>
      <c r="K371" t="s">
        <v>1296</v>
      </c>
    </row>
    <row r="372" spans="1:11" x14ac:dyDescent="0.35">
      <c r="A372" t="s">
        <v>1325</v>
      </c>
      <c r="B372" t="s">
        <v>1326</v>
      </c>
      <c r="C372" t="s">
        <v>198</v>
      </c>
      <c r="D372" t="s">
        <v>218</v>
      </c>
      <c r="E372" t="s">
        <v>219</v>
      </c>
      <c r="F372">
        <v>102766</v>
      </c>
      <c r="G372" t="s">
        <v>1327</v>
      </c>
      <c r="H372" t="s">
        <v>196</v>
      </c>
      <c r="I372">
        <v>15</v>
      </c>
      <c r="J372" t="s">
        <v>1328</v>
      </c>
      <c r="K372" t="s">
        <v>1326</v>
      </c>
    </row>
    <row r="373" spans="1:11" x14ac:dyDescent="0.35">
      <c r="A373" t="s">
        <v>1325</v>
      </c>
      <c r="B373" t="s">
        <v>1326</v>
      </c>
      <c r="C373" t="s">
        <v>198</v>
      </c>
      <c r="D373" t="s">
        <v>1329</v>
      </c>
      <c r="E373" t="s">
        <v>1330</v>
      </c>
      <c r="F373">
        <v>128076</v>
      </c>
      <c r="G373" t="s">
        <v>1331</v>
      </c>
      <c r="H373" t="s">
        <v>196</v>
      </c>
      <c r="I373">
        <v>8</v>
      </c>
      <c r="J373" t="s">
        <v>1332</v>
      </c>
      <c r="K373" t="s">
        <v>1326</v>
      </c>
    </row>
    <row r="374" spans="1:11" x14ac:dyDescent="0.35">
      <c r="A374" t="s">
        <v>1325</v>
      </c>
      <c r="B374" t="s">
        <v>1326</v>
      </c>
      <c r="C374" t="s">
        <v>198</v>
      </c>
      <c r="D374" t="s">
        <v>1333</v>
      </c>
      <c r="E374" t="s">
        <v>1334</v>
      </c>
      <c r="F374">
        <v>98507</v>
      </c>
      <c r="G374" t="s">
        <v>1335</v>
      </c>
      <c r="H374" t="s">
        <v>196</v>
      </c>
      <c r="I374">
        <v>9</v>
      </c>
      <c r="J374" t="s">
        <v>1336</v>
      </c>
      <c r="K374" t="s">
        <v>1326</v>
      </c>
    </row>
    <row r="375" spans="1:11" x14ac:dyDescent="0.35">
      <c r="A375" t="s">
        <v>1325</v>
      </c>
      <c r="B375" t="s">
        <v>1326</v>
      </c>
      <c r="C375" t="s">
        <v>198</v>
      </c>
      <c r="D375" t="s">
        <v>1337</v>
      </c>
      <c r="E375" t="s">
        <v>1338</v>
      </c>
      <c r="F375">
        <v>166216</v>
      </c>
      <c r="G375" t="s">
        <v>1339</v>
      </c>
      <c r="H375" t="s">
        <v>196</v>
      </c>
      <c r="I375">
        <v>5</v>
      </c>
      <c r="K375" t="s">
        <v>1326</v>
      </c>
    </row>
    <row r="376" spans="1:11" x14ac:dyDescent="0.35">
      <c r="A376" t="s">
        <v>1325</v>
      </c>
      <c r="B376" t="s">
        <v>1326</v>
      </c>
      <c r="C376" t="s">
        <v>198</v>
      </c>
      <c r="D376" t="s">
        <v>1340</v>
      </c>
      <c r="E376" t="s">
        <v>1341</v>
      </c>
      <c r="F376">
        <v>204603</v>
      </c>
      <c r="G376" t="s">
        <v>1342</v>
      </c>
      <c r="H376" t="s">
        <v>196</v>
      </c>
      <c r="I376">
        <v>6</v>
      </c>
      <c r="J376" t="s">
        <v>1343</v>
      </c>
      <c r="K376" t="s">
        <v>1326</v>
      </c>
    </row>
    <row r="377" spans="1:11" x14ac:dyDescent="0.35">
      <c r="A377" t="s">
        <v>1325</v>
      </c>
      <c r="B377" t="s">
        <v>1326</v>
      </c>
      <c r="C377" t="s">
        <v>198</v>
      </c>
      <c r="D377" t="s">
        <v>1344</v>
      </c>
      <c r="E377" t="s">
        <v>1345</v>
      </c>
      <c r="F377">
        <v>114208</v>
      </c>
      <c r="G377" t="s">
        <v>1346</v>
      </c>
      <c r="H377" t="s">
        <v>196</v>
      </c>
      <c r="I377">
        <v>6</v>
      </c>
      <c r="J377" t="s">
        <v>1347</v>
      </c>
      <c r="K377" t="s">
        <v>1326</v>
      </c>
    </row>
    <row r="378" spans="1:11" x14ac:dyDescent="0.35">
      <c r="A378" t="s">
        <v>1325</v>
      </c>
      <c r="B378" t="s">
        <v>1326</v>
      </c>
      <c r="C378" t="s">
        <v>198</v>
      </c>
      <c r="D378" t="s">
        <v>1348</v>
      </c>
      <c r="E378" t="s">
        <v>1349</v>
      </c>
      <c r="F378">
        <v>15.88</v>
      </c>
      <c r="G378" t="s">
        <v>1350</v>
      </c>
      <c r="H378" t="s">
        <v>43</v>
      </c>
      <c r="I378">
        <v>5</v>
      </c>
      <c r="K378" t="s">
        <v>1326</v>
      </c>
    </row>
    <row r="379" spans="1:11" x14ac:dyDescent="0.35">
      <c r="A379" t="s">
        <v>1325</v>
      </c>
      <c r="B379" t="s">
        <v>1326</v>
      </c>
      <c r="C379" t="s">
        <v>198</v>
      </c>
      <c r="D379" t="s">
        <v>1351</v>
      </c>
      <c r="E379" t="s">
        <v>1352</v>
      </c>
      <c r="F379">
        <v>117531</v>
      </c>
      <c r="G379" t="s">
        <v>1353</v>
      </c>
      <c r="H379" t="s">
        <v>196</v>
      </c>
      <c r="I379">
        <v>1</v>
      </c>
      <c r="K379" t="s">
        <v>1326</v>
      </c>
    </row>
    <row r="380" spans="1:11" x14ac:dyDescent="0.35">
      <c r="A380" t="s">
        <v>1325</v>
      </c>
      <c r="B380" t="s">
        <v>1326</v>
      </c>
      <c r="C380" t="s">
        <v>198</v>
      </c>
      <c r="D380" t="s">
        <v>1354</v>
      </c>
      <c r="E380" t="s">
        <v>1355</v>
      </c>
      <c r="F380">
        <v>69310</v>
      </c>
      <c r="G380" t="s">
        <v>1356</v>
      </c>
      <c r="H380" t="s">
        <v>196</v>
      </c>
      <c r="I380">
        <v>4</v>
      </c>
      <c r="K380" t="s">
        <v>1326</v>
      </c>
    </row>
    <row r="381" spans="1:11" x14ac:dyDescent="0.35">
      <c r="A381" t="s">
        <v>1325</v>
      </c>
      <c r="B381" t="s">
        <v>1326</v>
      </c>
      <c r="C381" t="s">
        <v>198</v>
      </c>
      <c r="D381" t="s">
        <v>1357</v>
      </c>
      <c r="E381" t="s">
        <v>1358</v>
      </c>
      <c r="F381">
        <v>69152</v>
      </c>
      <c r="G381" t="s">
        <v>1359</v>
      </c>
      <c r="H381" t="s">
        <v>196</v>
      </c>
      <c r="I381">
        <v>4</v>
      </c>
      <c r="K381" t="s">
        <v>1326</v>
      </c>
    </row>
    <row r="382" spans="1:11" x14ac:dyDescent="0.35">
      <c r="A382" t="s">
        <v>1360</v>
      </c>
      <c r="B382" t="s">
        <v>1360</v>
      </c>
      <c r="C382" t="s">
        <v>378</v>
      </c>
      <c r="D382" t="s">
        <v>401</v>
      </c>
      <c r="E382" t="s">
        <v>402</v>
      </c>
      <c r="F382">
        <v>66990</v>
      </c>
      <c r="G382" t="s">
        <v>1361</v>
      </c>
      <c r="H382" t="s">
        <v>196</v>
      </c>
      <c r="I382">
        <v>17</v>
      </c>
      <c r="J382" t="s">
        <v>1362</v>
      </c>
      <c r="K382" t="s">
        <v>1360</v>
      </c>
    </row>
    <row r="383" spans="1:11" x14ac:dyDescent="0.35">
      <c r="A383" t="s">
        <v>1360</v>
      </c>
      <c r="B383" t="s">
        <v>1360</v>
      </c>
      <c r="C383" t="s">
        <v>378</v>
      </c>
      <c r="D383" t="s">
        <v>391</v>
      </c>
      <c r="E383" t="s">
        <v>392</v>
      </c>
      <c r="F383">
        <v>55187</v>
      </c>
      <c r="G383" t="s">
        <v>1363</v>
      </c>
      <c r="H383" t="s">
        <v>196</v>
      </c>
      <c r="I383">
        <v>11</v>
      </c>
      <c r="J383" t="s">
        <v>1364</v>
      </c>
      <c r="K383" t="s">
        <v>1360</v>
      </c>
    </row>
    <row r="384" spans="1:11" x14ac:dyDescent="0.35">
      <c r="A384" t="s">
        <v>1360</v>
      </c>
      <c r="B384" t="s">
        <v>1360</v>
      </c>
      <c r="C384" t="s">
        <v>378</v>
      </c>
      <c r="D384" t="s">
        <v>1365</v>
      </c>
      <c r="E384" t="s">
        <v>1366</v>
      </c>
      <c r="F384">
        <v>82192</v>
      </c>
      <c r="G384" t="s">
        <v>1367</v>
      </c>
      <c r="H384" t="s">
        <v>196</v>
      </c>
      <c r="I384">
        <v>5</v>
      </c>
      <c r="K384" t="s">
        <v>1360</v>
      </c>
    </row>
    <row r="385" spans="1:11" x14ac:dyDescent="0.35">
      <c r="A385" t="s">
        <v>1360</v>
      </c>
      <c r="B385" t="s">
        <v>1360</v>
      </c>
      <c r="C385" t="s">
        <v>378</v>
      </c>
      <c r="D385" t="s">
        <v>1368</v>
      </c>
      <c r="E385" t="s">
        <v>1369</v>
      </c>
      <c r="F385">
        <v>23.67</v>
      </c>
      <c r="G385" t="s">
        <v>1370</v>
      </c>
      <c r="H385" t="s">
        <v>43</v>
      </c>
      <c r="I385">
        <v>15</v>
      </c>
      <c r="J385" t="s">
        <v>1371</v>
      </c>
      <c r="K385" t="s">
        <v>1360</v>
      </c>
    </row>
    <row r="386" spans="1:11" x14ac:dyDescent="0.35">
      <c r="A386" t="s">
        <v>1360</v>
      </c>
      <c r="B386" t="s">
        <v>1360</v>
      </c>
      <c r="C386" t="s">
        <v>378</v>
      </c>
      <c r="D386" t="s">
        <v>379</v>
      </c>
      <c r="E386" t="s">
        <v>380</v>
      </c>
      <c r="F386">
        <v>78068</v>
      </c>
      <c r="G386" t="s">
        <v>1372</v>
      </c>
      <c r="H386" t="s">
        <v>196</v>
      </c>
      <c r="I386">
        <v>8</v>
      </c>
      <c r="J386" t="s">
        <v>1373</v>
      </c>
      <c r="K386" t="s">
        <v>1360</v>
      </c>
    </row>
    <row r="387" spans="1:11" x14ac:dyDescent="0.35">
      <c r="A387" t="s">
        <v>1360</v>
      </c>
      <c r="B387" t="s">
        <v>1360</v>
      </c>
      <c r="C387" t="s">
        <v>378</v>
      </c>
      <c r="D387" t="s">
        <v>409</v>
      </c>
      <c r="E387" t="s">
        <v>410</v>
      </c>
      <c r="F387">
        <v>75817</v>
      </c>
      <c r="G387" t="s">
        <v>1374</v>
      </c>
      <c r="H387" t="s">
        <v>196</v>
      </c>
      <c r="I387">
        <v>10</v>
      </c>
      <c r="J387" t="s">
        <v>1375</v>
      </c>
      <c r="K387" t="s">
        <v>1360</v>
      </c>
    </row>
    <row r="388" spans="1:11" x14ac:dyDescent="0.35">
      <c r="A388" t="s">
        <v>1360</v>
      </c>
      <c r="B388" t="s">
        <v>1360</v>
      </c>
      <c r="C388" t="s">
        <v>378</v>
      </c>
      <c r="D388" t="s">
        <v>1376</v>
      </c>
      <c r="E388" t="s">
        <v>1377</v>
      </c>
      <c r="F388">
        <v>64050</v>
      </c>
      <c r="G388" t="s">
        <v>1378</v>
      </c>
      <c r="H388" t="s">
        <v>196</v>
      </c>
      <c r="I388">
        <v>5</v>
      </c>
      <c r="K388" t="s">
        <v>1360</v>
      </c>
    </row>
    <row r="389" spans="1:11" x14ac:dyDescent="0.35">
      <c r="A389" t="s">
        <v>1360</v>
      </c>
      <c r="B389" t="s">
        <v>1360</v>
      </c>
      <c r="C389" t="s">
        <v>378</v>
      </c>
      <c r="D389" t="s">
        <v>1379</v>
      </c>
      <c r="E389" t="s">
        <v>1380</v>
      </c>
      <c r="F389">
        <v>71251</v>
      </c>
      <c r="G389" t="s">
        <v>1381</v>
      </c>
      <c r="H389" t="s">
        <v>196</v>
      </c>
      <c r="I389">
        <v>6</v>
      </c>
      <c r="J389" t="s">
        <v>1382</v>
      </c>
      <c r="K389" t="s">
        <v>1360</v>
      </c>
    </row>
    <row r="390" spans="1:11" x14ac:dyDescent="0.35">
      <c r="A390" t="s">
        <v>1360</v>
      </c>
      <c r="B390" t="s">
        <v>1360</v>
      </c>
      <c r="C390" t="s">
        <v>378</v>
      </c>
      <c r="D390" t="s">
        <v>1383</v>
      </c>
      <c r="E390" t="s">
        <v>1384</v>
      </c>
      <c r="F390">
        <v>70545</v>
      </c>
      <c r="G390" t="s">
        <v>1385</v>
      </c>
      <c r="H390" t="s">
        <v>196</v>
      </c>
      <c r="I390">
        <v>9</v>
      </c>
      <c r="J390" t="s">
        <v>1386</v>
      </c>
      <c r="K390" t="s">
        <v>1360</v>
      </c>
    </row>
    <row r="391" spans="1:11" x14ac:dyDescent="0.35">
      <c r="A391" t="s">
        <v>1360</v>
      </c>
      <c r="B391" t="s">
        <v>1360</v>
      </c>
      <c r="C391" t="s">
        <v>378</v>
      </c>
      <c r="D391" t="s">
        <v>1387</v>
      </c>
      <c r="E391" t="s">
        <v>1388</v>
      </c>
      <c r="F391">
        <v>44475</v>
      </c>
      <c r="G391" t="s">
        <v>1389</v>
      </c>
      <c r="H391" t="s">
        <v>196</v>
      </c>
      <c r="I391">
        <v>4</v>
      </c>
      <c r="K391" t="s">
        <v>1360</v>
      </c>
    </row>
    <row r="392" spans="1:11" x14ac:dyDescent="0.35">
      <c r="A392" t="s">
        <v>1390</v>
      </c>
      <c r="B392" t="s">
        <v>1391</v>
      </c>
      <c r="C392" t="s">
        <v>1085</v>
      </c>
      <c r="D392" t="s">
        <v>1098</v>
      </c>
      <c r="E392" t="s">
        <v>1099</v>
      </c>
      <c r="F392">
        <v>18.46</v>
      </c>
      <c r="G392" t="s">
        <v>1392</v>
      </c>
      <c r="H392" t="s">
        <v>43</v>
      </c>
      <c r="I392">
        <v>7</v>
      </c>
      <c r="J392" t="s">
        <v>1393</v>
      </c>
      <c r="K392" t="s">
        <v>1390</v>
      </c>
    </row>
    <row r="393" spans="1:11" x14ac:dyDescent="0.35">
      <c r="A393" t="s">
        <v>1390</v>
      </c>
      <c r="B393" t="s">
        <v>1391</v>
      </c>
      <c r="C393" t="s">
        <v>1085</v>
      </c>
      <c r="D393" t="s">
        <v>1394</v>
      </c>
      <c r="E393" t="s">
        <v>1395</v>
      </c>
      <c r="F393">
        <v>23.53</v>
      </c>
      <c r="G393" t="s">
        <v>909</v>
      </c>
      <c r="H393" t="s">
        <v>43</v>
      </c>
      <c r="I393">
        <v>17</v>
      </c>
      <c r="J393" t="s">
        <v>1396</v>
      </c>
      <c r="K393" t="s">
        <v>1390</v>
      </c>
    </row>
    <row r="394" spans="1:11" x14ac:dyDescent="0.35">
      <c r="A394" t="s">
        <v>1390</v>
      </c>
      <c r="B394" t="s">
        <v>1391</v>
      </c>
      <c r="C394" t="s">
        <v>1085</v>
      </c>
      <c r="D394" t="s">
        <v>1397</v>
      </c>
      <c r="E394" t="s">
        <v>1398</v>
      </c>
      <c r="F394">
        <v>22.67</v>
      </c>
      <c r="G394" t="s">
        <v>1399</v>
      </c>
      <c r="H394" t="s">
        <v>43</v>
      </c>
      <c r="I394">
        <v>5</v>
      </c>
      <c r="K394" t="s">
        <v>1390</v>
      </c>
    </row>
    <row r="395" spans="1:11" x14ac:dyDescent="0.35">
      <c r="A395" t="s">
        <v>1390</v>
      </c>
      <c r="B395" t="s">
        <v>1391</v>
      </c>
      <c r="C395" t="s">
        <v>1085</v>
      </c>
      <c r="D395" t="s">
        <v>1400</v>
      </c>
      <c r="E395" t="s">
        <v>1401</v>
      </c>
      <c r="F395">
        <v>18.98</v>
      </c>
      <c r="G395" t="s">
        <v>1402</v>
      </c>
      <c r="H395" t="s">
        <v>43</v>
      </c>
      <c r="I395">
        <v>6</v>
      </c>
      <c r="J395" t="s">
        <v>1403</v>
      </c>
      <c r="K395" t="s">
        <v>1390</v>
      </c>
    </row>
    <row r="396" spans="1:11" x14ac:dyDescent="0.35">
      <c r="A396" t="s">
        <v>1390</v>
      </c>
      <c r="B396" t="s">
        <v>1391</v>
      </c>
      <c r="C396" t="s">
        <v>1085</v>
      </c>
      <c r="D396" t="s">
        <v>1404</v>
      </c>
      <c r="E396" t="s">
        <v>1405</v>
      </c>
      <c r="F396">
        <v>24.04</v>
      </c>
      <c r="G396" t="s">
        <v>1406</v>
      </c>
      <c r="H396" t="s">
        <v>43</v>
      </c>
      <c r="I396">
        <v>7</v>
      </c>
      <c r="J396" t="s">
        <v>1407</v>
      </c>
      <c r="K396" t="s">
        <v>1390</v>
      </c>
    </row>
    <row r="397" spans="1:11" x14ac:dyDescent="0.35">
      <c r="A397" t="s">
        <v>1390</v>
      </c>
      <c r="B397" t="s">
        <v>1391</v>
      </c>
      <c r="C397" t="s">
        <v>1085</v>
      </c>
      <c r="D397" t="s">
        <v>1408</v>
      </c>
      <c r="E397" t="s">
        <v>1409</v>
      </c>
      <c r="F397">
        <v>22.18</v>
      </c>
      <c r="G397" t="s">
        <v>1410</v>
      </c>
      <c r="H397" t="s">
        <v>43</v>
      </c>
      <c r="I397">
        <v>4</v>
      </c>
      <c r="K397" t="s">
        <v>1390</v>
      </c>
    </row>
    <row r="398" spans="1:11" x14ac:dyDescent="0.35">
      <c r="A398" t="s">
        <v>1390</v>
      </c>
      <c r="B398" t="s">
        <v>1391</v>
      </c>
      <c r="C398" t="s">
        <v>1085</v>
      </c>
      <c r="D398" t="s">
        <v>1411</v>
      </c>
      <c r="E398" t="s">
        <v>1412</v>
      </c>
      <c r="F398">
        <v>23.21</v>
      </c>
      <c r="G398" t="s">
        <v>1413</v>
      </c>
      <c r="H398" t="s">
        <v>43</v>
      </c>
      <c r="I398">
        <v>3</v>
      </c>
      <c r="K398" t="s">
        <v>1390</v>
      </c>
    </row>
    <row r="399" spans="1:11" x14ac:dyDescent="0.35">
      <c r="A399" t="s">
        <v>1390</v>
      </c>
      <c r="B399" t="s">
        <v>1391</v>
      </c>
      <c r="C399" t="s">
        <v>1085</v>
      </c>
      <c r="D399" t="s">
        <v>1414</v>
      </c>
      <c r="E399" t="s">
        <v>1415</v>
      </c>
      <c r="F399">
        <v>23.79</v>
      </c>
      <c r="G399" t="s">
        <v>1416</v>
      </c>
      <c r="H399" t="s">
        <v>43</v>
      </c>
      <c r="I399">
        <v>2</v>
      </c>
      <c r="K399" t="s">
        <v>1390</v>
      </c>
    </row>
    <row r="400" spans="1:11" x14ac:dyDescent="0.35">
      <c r="A400" t="s">
        <v>1390</v>
      </c>
      <c r="B400" t="s">
        <v>1391</v>
      </c>
      <c r="C400" t="s">
        <v>1085</v>
      </c>
      <c r="D400" t="s">
        <v>1417</v>
      </c>
      <c r="E400" t="s">
        <v>1418</v>
      </c>
      <c r="F400">
        <v>23.82</v>
      </c>
      <c r="G400" t="s">
        <v>1419</v>
      </c>
      <c r="H400" t="s">
        <v>43</v>
      </c>
      <c r="I400">
        <v>1</v>
      </c>
      <c r="K400" t="s">
        <v>1390</v>
      </c>
    </row>
    <row r="401" spans="1:11" x14ac:dyDescent="0.35">
      <c r="A401" t="s">
        <v>1390</v>
      </c>
      <c r="B401" t="s">
        <v>1391</v>
      </c>
      <c r="C401" t="s">
        <v>1085</v>
      </c>
      <c r="D401" t="s">
        <v>1420</v>
      </c>
      <c r="E401" t="s">
        <v>1421</v>
      </c>
      <c r="F401">
        <v>33000</v>
      </c>
      <c r="G401" t="s">
        <v>1422</v>
      </c>
      <c r="H401" t="s">
        <v>196</v>
      </c>
      <c r="I401">
        <v>1</v>
      </c>
      <c r="K401" t="s">
        <v>1390</v>
      </c>
    </row>
    <row r="402" spans="1:11" x14ac:dyDescent="0.35">
      <c r="A402" t="s">
        <v>1423</v>
      </c>
      <c r="B402" t="s">
        <v>1423</v>
      </c>
      <c r="C402" t="s">
        <v>1144</v>
      </c>
      <c r="D402" t="s">
        <v>1272</v>
      </c>
      <c r="E402" t="s">
        <v>1273</v>
      </c>
      <c r="F402">
        <v>91602</v>
      </c>
      <c r="G402" t="s">
        <v>1424</v>
      </c>
      <c r="H402" t="s">
        <v>196</v>
      </c>
      <c r="I402">
        <v>129</v>
      </c>
      <c r="J402" t="s">
        <v>1425</v>
      </c>
      <c r="K402" t="s">
        <v>1423</v>
      </c>
    </row>
    <row r="403" spans="1:11" x14ac:dyDescent="0.35">
      <c r="A403" t="s">
        <v>1423</v>
      </c>
      <c r="B403" t="s">
        <v>1423</v>
      </c>
      <c r="C403" t="s">
        <v>1144</v>
      </c>
      <c r="D403" t="s">
        <v>1284</v>
      </c>
      <c r="E403" t="s">
        <v>1285</v>
      </c>
      <c r="F403">
        <v>137376</v>
      </c>
      <c r="G403" t="s">
        <v>1426</v>
      </c>
      <c r="H403" t="s">
        <v>196</v>
      </c>
      <c r="I403">
        <v>65</v>
      </c>
      <c r="J403" t="s">
        <v>1427</v>
      </c>
      <c r="K403" t="s">
        <v>1423</v>
      </c>
    </row>
    <row r="404" spans="1:11" x14ac:dyDescent="0.35">
      <c r="A404" t="s">
        <v>1423</v>
      </c>
      <c r="B404" t="s">
        <v>1423</v>
      </c>
      <c r="C404" t="s">
        <v>1144</v>
      </c>
      <c r="D404" t="s">
        <v>1428</v>
      </c>
      <c r="E404" t="s">
        <v>1429</v>
      </c>
      <c r="F404">
        <v>148568</v>
      </c>
      <c r="G404" t="s">
        <v>1430</v>
      </c>
      <c r="H404" t="s">
        <v>196</v>
      </c>
      <c r="I404">
        <v>26</v>
      </c>
      <c r="J404" t="s">
        <v>1431</v>
      </c>
      <c r="K404" t="s">
        <v>1423</v>
      </c>
    </row>
    <row r="405" spans="1:11" x14ac:dyDescent="0.35">
      <c r="A405" t="s">
        <v>1423</v>
      </c>
      <c r="B405" t="s">
        <v>1423</v>
      </c>
      <c r="C405" t="s">
        <v>1144</v>
      </c>
      <c r="D405" t="s">
        <v>1157</v>
      </c>
      <c r="E405" t="s">
        <v>1158</v>
      </c>
      <c r="F405">
        <v>111761</v>
      </c>
      <c r="G405" t="s">
        <v>1432</v>
      </c>
      <c r="H405" t="s">
        <v>196</v>
      </c>
      <c r="I405">
        <v>25</v>
      </c>
      <c r="J405" t="s">
        <v>1433</v>
      </c>
      <c r="K405" t="s">
        <v>1423</v>
      </c>
    </row>
    <row r="406" spans="1:11" x14ac:dyDescent="0.35">
      <c r="A406" t="s">
        <v>1423</v>
      </c>
      <c r="B406" t="s">
        <v>1423</v>
      </c>
      <c r="C406" t="s">
        <v>1144</v>
      </c>
      <c r="D406" t="s">
        <v>1145</v>
      </c>
      <c r="E406" t="s">
        <v>1146</v>
      </c>
      <c r="F406">
        <v>69283</v>
      </c>
      <c r="G406" t="s">
        <v>1434</v>
      </c>
      <c r="H406" t="s">
        <v>196</v>
      </c>
      <c r="I406">
        <v>7</v>
      </c>
      <c r="J406" t="s">
        <v>1435</v>
      </c>
      <c r="K406" t="s">
        <v>1423</v>
      </c>
    </row>
    <row r="407" spans="1:11" x14ac:dyDescent="0.35">
      <c r="A407" t="s">
        <v>1423</v>
      </c>
      <c r="B407" t="s">
        <v>1423</v>
      </c>
      <c r="C407" t="s">
        <v>1144</v>
      </c>
      <c r="D407" t="s">
        <v>1288</v>
      </c>
      <c r="E407" t="s">
        <v>1289</v>
      </c>
      <c r="F407">
        <v>166930</v>
      </c>
      <c r="G407" t="s">
        <v>1436</v>
      </c>
      <c r="H407" t="s">
        <v>196</v>
      </c>
      <c r="I407">
        <v>11</v>
      </c>
      <c r="J407" t="s">
        <v>1437</v>
      </c>
      <c r="K407" t="s">
        <v>1423</v>
      </c>
    </row>
    <row r="408" spans="1:11" x14ac:dyDescent="0.35">
      <c r="A408" t="s">
        <v>1423</v>
      </c>
      <c r="B408" t="s">
        <v>1423</v>
      </c>
      <c r="C408" t="s">
        <v>1144</v>
      </c>
      <c r="D408" t="s">
        <v>1438</v>
      </c>
      <c r="E408" t="s">
        <v>1439</v>
      </c>
      <c r="F408">
        <v>56911</v>
      </c>
      <c r="G408" t="s">
        <v>1440</v>
      </c>
      <c r="H408" t="s">
        <v>196</v>
      </c>
      <c r="I408">
        <v>17</v>
      </c>
      <c r="J408" t="s">
        <v>1441</v>
      </c>
      <c r="K408" t="s">
        <v>1423</v>
      </c>
    </row>
    <row r="409" spans="1:11" x14ac:dyDescent="0.35">
      <c r="A409" t="s">
        <v>1423</v>
      </c>
      <c r="B409" t="s">
        <v>1423</v>
      </c>
      <c r="C409" t="s">
        <v>1144</v>
      </c>
      <c r="D409" t="s">
        <v>1442</v>
      </c>
      <c r="E409" t="s">
        <v>1443</v>
      </c>
      <c r="F409">
        <v>94489</v>
      </c>
      <c r="G409" t="s">
        <v>1444</v>
      </c>
      <c r="H409" t="s">
        <v>196</v>
      </c>
      <c r="I409">
        <v>17</v>
      </c>
      <c r="J409" t="s">
        <v>1445</v>
      </c>
      <c r="K409" t="s">
        <v>1423</v>
      </c>
    </row>
    <row r="410" spans="1:11" x14ac:dyDescent="0.35">
      <c r="A410" t="s">
        <v>1423</v>
      </c>
      <c r="B410" t="s">
        <v>1423</v>
      </c>
      <c r="C410" t="s">
        <v>1144</v>
      </c>
      <c r="D410" t="s">
        <v>1292</v>
      </c>
      <c r="E410" t="s">
        <v>1293</v>
      </c>
      <c r="F410">
        <v>67595</v>
      </c>
      <c r="G410" t="s">
        <v>1446</v>
      </c>
      <c r="H410" t="s">
        <v>196</v>
      </c>
      <c r="I410">
        <v>5</v>
      </c>
      <c r="K410" t="s">
        <v>1423</v>
      </c>
    </row>
    <row r="411" spans="1:11" x14ac:dyDescent="0.35">
      <c r="A411" t="s">
        <v>1423</v>
      </c>
      <c r="B411" t="s">
        <v>1423</v>
      </c>
      <c r="C411" t="s">
        <v>1144</v>
      </c>
      <c r="D411" t="s">
        <v>1447</v>
      </c>
      <c r="E411" t="s">
        <v>1448</v>
      </c>
      <c r="F411">
        <v>91961</v>
      </c>
      <c r="G411" t="s">
        <v>1449</v>
      </c>
      <c r="H411" t="s">
        <v>196</v>
      </c>
      <c r="I411">
        <v>12</v>
      </c>
      <c r="J411" t="s">
        <v>1450</v>
      </c>
      <c r="K411" t="s">
        <v>1423</v>
      </c>
    </row>
    <row r="412" spans="1:11" x14ac:dyDescent="0.35">
      <c r="A412" t="s">
        <v>1451</v>
      </c>
      <c r="B412" t="s">
        <v>1452</v>
      </c>
      <c r="C412" t="s">
        <v>899</v>
      </c>
      <c r="D412" t="s">
        <v>1453</v>
      </c>
      <c r="E412" t="s">
        <v>1454</v>
      </c>
      <c r="F412">
        <v>30.47</v>
      </c>
      <c r="G412" t="s">
        <v>1455</v>
      </c>
      <c r="H412" t="s">
        <v>43</v>
      </c>
      <c r="I412">
        <v>21</v>
      </c>
      <c r="J412" t="s">
        <v>1456</v>
      </c>
      <c r="K412" t="s">
        <v>1451</v>
      </c>
    </row>
    <row r="413" spans="1:11" x14ac:dyDescent="0.35">
      <c r="A413" t="s">
        <v>1451</v>
      </c>
      <c r="B413" t="s">
        <v>1452</v>
      </c>
      <c r="C413" t="s">
        <v>899</v>
      </c>
      <c r="D413" t="s">
        <v>1457</v>
      </c>
      <c r="E413" t="s">
        <v>1458</v>
      </c>
      <c r="F413">
        <v>187</v>
      </c>
      <c r="G413" t="s">
        <v>1459</v>
      </c>
      <c r="H413" t="s">
        <v>43</v>
      </c>
      <c r="I413">
        <v>16</v>
      </c>
      <c r="J413" t="s">
        <v>1460</v>
      </c>
      <c r="K413" t="s">
        <v>1451</v>
      </c>
    </row>
    <row r="414" spans="1:11" x14ac:dyDescent="0.35">
      <c r="A414" t="s">
        <v>1451</v>
      </c>
      <c r="B414" t="s">
        <v>1452</v>
      </c>
      <c r="C414" t="s">
        <v>899</v>
      </c>
      <c r="D414" t="s">
        <v>925</v>
      </c>
      <c r="E414" t="s">
        <v>926</v>
      </c>
      <c r="F414">
        <v>46.3</v>
      </c>
      <c r="G414" t="s">
        <v>1461</v>
      </c>
      <c r="H414" t="s">
        <v>43</v>
      </c>
      <c r="I414">
        <v>7</v>
      </c>
      <c r="J414" t="s">
        <v>1462</v>
      </c>
      <c r="K414" t="s">
        <v>1451</v>
      </c>
    </row>
    <row r="415" spans="1:11" x14ac:dyDescent="0.35">
      <c r="A415" t="s">
        <v>1451</v>
      </c>
      <c r="B415" t="s">
        <v>1452</v>
      </c>
      <c r="C415" t="s">
        <v>899</v>
      </c>
      <c r="D415" t="s">
        <v>1463</v>
      </c>
      <c r="E415" t="s">
        <v>1464</v>
      </c>
      <c r="F415">
        <v>54.42</v>
      </c>
      <c r="G415" t="s">
        <v>1465</v>
      </c>
      <c r="H415" t="s">
        <v>43</v>
      </c>
      <c r="I415">
        <v>5</v>
      </c>
      <c r="K415" t="s">
        <v>1451</v>
      </c>
    </row>
    <row r="416" spans="1:11" x14ac:dyDescent="0.35">
      <c r="A416" t="s">
        <v>1451</v>
      </c>
      <c r="B416" t="s">
        <v>1452</v>
      </c>
      <c r="C416" t="s">
        <v>899</v>
      </c>
      <c r="D416" t="s">
        <v>1466</v>
      </c>
      <c r="E416" t="s">
        <v>1467</v>
      </c>
      <c r="F416">
        <v>52.5</v>
      </c>
      <c r="G416" t="s">
        <v>1468</v>
      </c>
      <c r="H416" t="s">
        <v>43</v>
      </c>
      <c r="I416">
        <v>9</v>
      </c>
      <c r="J416" t="s">
        <v>1469</v>
      </c>
      <c r="K416" t="s">
        <v>1451</v>
      </c>
    </row>
    <row r="417" spans="1:11" x14ac:dyDescent="0.35">
      <c r="A417" t="s">
        <v>1451</v>
      </c>
      <c r="B417" t="s">
        <v>1452</v>
      </c>
      <c r="C417" t="s">
        <v>899</v>
      </c>
      <c r="D417" t="s">
        <v>913</v>
      </c>
      <c r="E417" t="s">
        <v>914</v>
      </c>
      <c r="F417">
        <v>35.75</v>
      </c>
      <c r="G417" t="s">
        <v>1470</v>
      </c>
      <c r="H417" t="s">
        <v>43</v>
      </c>
      <c r="I417">
        <v>12</v>
      </c>
      <c r="J417" t="s">
        <v>1471</v>
      </c>
      <c r="K417" t="s">
        <v>1451</v>
      </c>
    </row>
    <row r="418" spans="1:11" x14ac:dyDescent="0.35">
      <c r="A418" t="s">
        <v>1451</v>
      </c>
      <c r="B418" t="s">
        <v>1452</v>
      </c>
      <c r="C418" t="s">
        <v>899</v>
      </c>
      <c r="D418" t="s">
        <v>900</v>
      </c>
      <c r="E418" t="s">
        <v>901</v>
      </c>
      <c r="F418">
        <v>48.55</v>
      </c>
      <c r="G418" t="s">
        <v>1472</v>
      </c>
      <c r="H418" t="s">
        <v>43</v>
      </c>
      <c r="I418">
        <v>12</v>
      </c>
      <c r="J418" t="s">
        <v>1473</v>
      </c>
      <c r="K418" t="s">
        <v>1451</v>
      </c>
    </row>
    <row r="419" spans="1:11" x14ac:dyDescent="0.35">
      <c r="A419" t="s">
        <v>1451</v>
      </c>
      <c r="B419" t="s">
        <v>1452</v>
      </c>
      <c r="C419" t="s">
        <v>899</v>
      </c>
      <c r="D419" t="s">
        <v>1474</v>
      </c>
      <c r="E419" t="s">
        <v>1475</v>
      </c>
      <c r="F419">
        <v>53.88</v>
      </c>
      <c r="G419" t="s">
        <v>1476</v>
      </c>
      <c r="H419" t="s">
        <v>43</v>
      </c>
      <c r="I419">
        <v>8</v>
      </c>
      <c r="J419" t="s">
        <v>1477</v>
      </c>
      <c r="K419" t="s">
        <v>1451</v>
      </c>
    </row>
    <row r="420" spans="1:11" x14ac:dyDescent="0.35">
      <c r="A420" t="s">
        <v>1451</v>
      </c>
      <c r="B420" t="s">
        <v>1452</v>
      </c>
      <c r="C420" t="s">
        <v>899</v>
      </c>
      <c r="D420" t="s">
        <v>903</v>
      </c>
      <c r="E420" t="s">
        <v>904</v>
      </c>
      <c r="F420">
        <v>30.7</v>
      </c>
      <c r="G420" t="s">
        <v>1478</v>
      </c>
      <c r="H420" t="s">
        <v>43</v>
      </c>
      <c r="I420">
        <v>10</v>
      </c>
      <c r="J420" t="s">
        <v>1479</v>
      </c>
      <c r="K420" t="s">
        <v>1451</v>
      </c>
    </row>
    <row r="421" spans="1:11" x14ac:dyDescent="0.35">
      <c r="A421" t="s">
        <v>1451</v>
      </c>
      <c r="B421" t="s">
        <v>1452</v>
      </c>
      <c r="C421" t="s">
        <v>899</v>
      </c>
      <c r="D421" t="s">
        <v>1480</v>
      </c>
      <c r="E421" t="s">
        <v>1481</v>
      </c>
      <c r="F421">
        <v>37.1</v>
      </c>
      <c r="G421" t="s">
        <v>1482</v>
      </c>
      <c r="H421" t="s">
        <v>43</v>
      </c>
      <c r="I421">
        <v>11</v>
      </c>
      <c r="J421" t="s">
        <v>1483</v>
      </c>
      <c r="K421" t="s">
        <v>1451</v>
      </c>
    </row>
    <row r="422" spans="1:11" x14ac:dyDescent="0.35">
      <c r="A422" t="s">
        <v>1484</v>
      </c>
      <c r="B422" t="s">
        <v>1485</v>
      </c>
      <c r="C422" t="s">
        <v>1486</v>
      </c>
      <c r="D422" t="s">
        <v>1487</v>
      </c>
      <c r="E422" t="s">
        <v>1488</v>
      </c>
      <c r="F422">
        <v>123651</v>
      </c>
      <c r="G422" t="s">
        <v>1489</v>
      </c>
      <c r="H422" t="s">
        <v>196</v>
      </c>
      <c r="I422">
        <v>92</v>
      </c>
      <c r="J422" t="s">
        <v>1490</v>
      </c>
      <c r="K422" t="s">
        <v>1484</v>
      </c>
    </row>
    <row r="423" spans="1:11" x14ac:dyDescent="0.35">
      <c r="A423" t="s">
        <v>1484</v>
      </c>
      <c r="B423" t="s">
        <v>1485</v>
      </c>
      <c r="C423" t="s">
        <v>1486</v>
      </c>
      <c r="D423" t="s">
        <v>1491</v>
      </c>
      <c r="E423" t="s">
        <v>1492</v>
      </c>
      <c r="F423">
        <v>77504</v>
      </c>
      <c r="G423" t="s">
        <v>1493</v>
      </c>
      <c r="H423" t="s">
        <v>196</v>
      </c>
      <c r="I423">
        <v>39</v>
      </c>
      <c r="J423" t="s">
        <v>1494</v>
      </c>
      <c r="K423" t="s">
        <v>1484</v>
      </c>
    </row>
    <row r="424" spans="1:11" x14ac:dyDescent="0.35">
      <c r="A424" t="s">
        <v>1484</v>
      </c>
      <c r="B424" t="s">
        <v>1485</v>
      </c>
      <c r="C424" t="s">
        <v>1486</v>
      </c>
      <c r="D424" t="s">
        <v>1495</v>
      </c>
      <c r="E424" t="s">
        <v>1496</v>
      </c>
      <c r="F424">
        <v>80271</v>
      </c>
      <c r="G424" t="s">
        <v>1497</v>
      </c>
      <c r="H424" t="s">
        <v>196</v>
      </c>
      <c r="I424">
        <v>11</v>
      </c>
      <c r="J424" t="s">
        <v>1498</v>
      </c>
      <c r="K424" t="s">
        <v>1484</v>
      </c>
    </row>
    <row r="425" spans="1:11" x14ac:dyDescent="0.35">
      <c r="A425" t="s">
        <v>1484</v>
      </c>
      <c r="B425" t="s">
        <v>1485</v>
      </c>
      <c r="C425" t="s">
        <v>1486</v>
      </c>
      <c r="D425" t="s">
        <v>1499</v>
      </c>
      <c r="E425" t="s">
        <v>1500</v>
      </c>
      <c r="F425">
        <v>61299</v>
      </c>
      <c r="G425" t="s">
        <v>1501</v>
      </c>
      <c r="H425" t="s">
        <v>196</v>
      </c>
      <c r="I425">
        <v>5</v>
      </c>
      <c r="K425" t="s">
        <v>1484</v>
      </c>
    </row>
    <row r="426" spans="1:11" x14ac:dyDescent="0.35">
      <c r="A426" t="s">
        <v>1484</v>
      </c>
      <c r="B426" t="s">
        <v>1485</v>
      </c>
      <c r="C426" t="s">
        <v>1486</v>
      </c>
      <c r="D426" t="s">
        <v>1502</v>
      </c>
      <c r="E426" t="s">
        <v>1503</v>
      </c>
      <c r="F426">
        <v>101653</v>
      </c>
      <c r="G426" t="s">
        <v>1504</v>
      </c>
      <c r="H426" t="s">
        <v>196</v>
      </c>
      <c r="I426">
        <v>9</v>
      </c>
      <c r="J426" t="s">
        <v>1505</v>
      </c>
      <c r="K426" t="s">
        <v>1484</v>
      </c>
    </row>
    <row r="427" spans="1:11" x14ac:dyDescent="0.35">
      <c r="A427" t="s">
        <v>1484</v>
      </c>
      <c r="B427" t="s">
        <v>1485</v>
      </c>
      <c r="C427" t="s">
        <v>1486</v>
      </c>
      <c r="D427" t="s">
        <v>1506</v>
      </c>
      <c r="E427" t="s">
        <v>1507</v>
      </c>
      <c r="F427">
        <v>60896</v>
      </c>
      <c r="G427" t="s">
        <v>1508</v>
      </c>
      <c r="H427" t="s">
        <v>196</v>
      </c>
      <c r="I427">
        <v>6</v>
      </c>
      <c r="J427" t="s">
        <v>1509</v>
      </c>
      <c r="K427" t="s">
        <v>1484</v>
      </c>
    </row>
    <row r="428" spans="1:11" x14ac:dyDescent="0.35">
      <c r="A428" t="s">
        <v>1484</v>
      </c>
      <c r="B428" t="s">
        <v>1485</v>
      </c>
      <c r="C428" t="s">
        <v>1486</v>
      </c>
      <c r="D428" t="s">
        <v>1510</v>
      </c>
      <c r="E428" t="s">
        <v>1511</v>
      </c>
      <c r="F428">
        <v>176537</v>
      </c>
      <c r="G428" t="s">
        <v>1512</v>
      </c>
      <c r="H428" t="s">
        <v>196</v>
      </c>
      <c r="I428">
        <v>6</v>
      </c>
      <c r="J428" t="s">
        <v>1513</v>
      </c>
      <c r="K428" t="s">
        <v>1484</v>
      </c>
    </row>
    <row r="429" spans="1:11" x14ac:dyDescent="0.35">
      <c r="A429" t="s">
        <v>1484</v>
      </c>
      <c r="B429" t="s">
        <v>1485</v>
      </c>
      <c r="C429" t="s">
        <v>1486</v>
      </c>
      <c r="D429" t="s">
        <v>1514</v>
      </c>
      <c r="E429" t="s">
        <v>1515</v>
      </c>
      <c r="F429">
        <v>70235</v>
      </c>
      <c r="G429" t="s">
        <v>1516</v>
      </c>
      <c r="H429" t="s">
        <v>196</v>
      </c>
      <c r="I429">
        <v>1</v>
      </c>
      <c r="K429" t="s">
        <v>1484</v>
      </c>
    </row>
    <row r="430" spans="1:11" x14ac:dyDescent="0.35">
      <c r="A430" t="s">
        <v>1484</v>
      </c>
      <c r="B430" t="s">
        <v>1485</v>
      </c>
      <c r="C430" t="s">
        <v>1486</v>
      </c>
      <c r="D430" t="s">
        <v>1517</v>
      </c>
      <c r="E430" t="s">
        <v>1518</v>
      </c>
      <c r="F430">
        <v>87719</v>
      </c>
      <c r="G430" t="s">
        <v>1519</v>
      </c>
      <c r="H430" t="s">
        <v>196</v>
      </c>
      <c r="I430">
        <v>3</v>
      </c>
      <c r="K430" t="s">
        <v>1484</v>
      </c>
    </row>
    <row r="431" spans="1:11" x14ac:dyDescent="0.35">
      <c r="A431" t="s">
        <v>1484</v>
      </c>
      <c r="B431" t="s">
        <v>1485</v>
      </c>
      <c r="C431" t="s">
        <v>1486</v>
      </c>
      <c r="D431" t="s">
        <v>1520</v>
      </c>
      <c r="E431" t="s">
        <v>1521</v>
      </c>
      <c r="F431">
        <v>59006</v>
      </c>
      <c r="G431" t="s">
        <v>1522</v>
      </c>
      <c r="H431" t="s">
        <v>196</v>
      </c>
      <c r="I431">
        <v>3</v>
      </c>
      <c r="K431" t="s">
        <v>1484</v>
      </c>
    </row>
    <row r="432" spans="1:11" x14ac:dyDescent="0.35">
      <c r="A432" t="s">
        <v>1523</v>
      </c>
      <c r="B432" t="s">
        <v>1524</v>
      </c>
      <c r="C432" t="s">
        <v>1525</v>
      </c>
      <c r="D432" t="s">
        <v>1526</v>
      </c>
      <c r="E432" t="s">
        <v>1527</v>
      </c>
      <c r="F432">
        <v>61430</v>
      </c>
      <c r="G432" t="s">
        <v>1528</v>
      </c>
      <c r="H432" t="s">
        <v>196</v>
      </c>
      <c r="I432">
        <v>13</v>
      </c>
      <c r="J432" t="s">
        <v>1529</v>
      </c>
      <c r="K432" t="s">
        <v>1523</v>
      </c>
    </row>
    <row r="433" spans="1:11" x14ac:dyDescent="0.35">
      <c r="A433" t="s">
        <v>1523</v>
      </c>
      <c r="B433" t="s">
        <v>1524</v>
      </c>
      <c r="C433" t="s">
        <v>1525</v>
      </c>
      <c r="D433" t="s">
        <v>1530</v>
      </c>
      <c r="E433" t="s">
        <v>1531</v>
      </c>
      <c r="F433">
        <v>58949</v>
      </c>
      <c r="G433" t="s">
        <v>1532</v>
      </c>
      <c r="H433" t="s">
        <v>196</v>
      </c>
      <c r="I433">
        <v>12</v>
      </c>
      <c r="J433" t="s">
        <v>1533</v>
      </c>
      <c r="K433" t="s">
        <v>1523</v>
      </c>
    </row>
    <row r="434" spans="1:11" x14ac:dyDescent="0.35">
      <c r="A434" t="s">
        <v>1523</v>
      </c>
      <c r="B434" t="s">
        <v>1524</v>
      </c>
      <c r="C434" t="s">
        <v>1525</v>
      </c>
      <c r="D434" t="s">
        <v>1534</v>
      </c>
      <c r="E434" t="s">
        <v>1535</v>
      </c>
      <c r="F434">
        <v>78355</v>
      </c>
      <c r="G434" t="s">
        <v>1536</v>
      </c>
      <c r="H434" t="s">
        <v>196</v>
      </c>
      <c r="I434">
        <v>9</v>
      </c>
      <c r="J434" t="s">
        <v>1537</v>
      </c>
      <c r="K434" t="s">
        <v>1523</v>
      </c>
    </row>
    <row r="435" spans="1:11" x14ac:dyDescent="0.35">
      <c r="A435" t="s">
        <v>1523</v>
      </c>
      <c r="B435" t="s">
        <v>1524</v>
      </c>
      <c r="C435" t="s">
        <v>1525</v>
      </c>
      <c r="D435" t="s">
        <v>1538</v>
      </c>
      <c r="E435" t="s">
        <v>1539</v>
      </c>
      <c r="F435">
        <v>45892</v>
      </c>
      <c r="G435" t="s">
        <v>1540</v>
      </c>
      <c r="H435" t="s">
        <v>196</v>
      </c>
      <c r="I435">
        <v>4</v>
      </c>
      <c r="K435" t="s">
        <v>1523</v>
      </c>
    </row>
    <row r="436" spans="1:11" x14ac:dyDescent="0.35">
      <c r="A436" t="s">
        <v>1523</v>
      </c>
      <c r="B436" t="s">
        <v>1524</v>
      </c>
      <c r="C436" t="s">
        <v>1525</v>
      </c>
      <c r="D436" t="s">
        <v>1541</v>
      </c>
      <c r="E436" t="s">
        <v>1542</v>
      </c>
      <c r="F436">
        <v>60810</v>
      </c>
      <c r="G436" t="s">
        <v>1543</v>
      </c>
      <c r="H436" t="s">
        <v>196</v>
      </c>
      <c r="I436">
        <v>15</v>
      </c>
      <c r="J436" t="s">
        <v>1544</v>
      </c>
      <c r="K436" t="s">
        <v>1523</v>
      </c>
    </row>
    <row r="437" spans="1:11" x14ac:dyDescent="0.35">
      <c r="A437" t="s">
        <v>1523</v>
      </c>
      <c r="B437" t="s">
        <v>1524</v>
      </c>
      <c r="C437" t="s">
        <v>1525</v>
      </c>
      <c r="D437" t="s">
        <v>1545</v>
      </c>
      <c r="E437" t="s">
        <v>1546</v>
      </c>
      <c r="F437">
        <v>37374</v>
      </c>
      <c r="G437" t="s">
        <v>1547</v>
      </c>
      <c r="H437" t="s">
        <v>196</v>
      </c>
      <c r="I437">
        <v>6</v>
      </c>
      <c r="J437" t="s">
        <v>1548</v>
      </c>
      <c r="K437" t="s">
        <v>1523</v>
      </c>
    </row>
    <row r="438" spans="1:11" x14ac:dyDescent="0.35">
      <c r="A438" t="s">
        <v>1523</v>
      </c>
      <c r="B438" t="s">
        <v>1524</v>
      </c>
      <c r="C438" t="s">
        <v>1525</v>
      </c>
      <c r="D438" t="s">
        <v>1549</v>
      </c>
      <c r="E438" t="s">
        <v>1550</v>
      </c>
      <c r="F438">
        <v>39421</v>
      </c>
      <c r="G438" t="s">
        <v>1551</v>
      </c>
      <c r="H438" t="s">
        <v>196</v>
      </c>
      <c r="I438">
        <v>3</v>
      </c>
      <c r="K438" t="s">
        <v>1523</v>
      </c>
    </row>
    <row r="439" spans="1:11" x14ac:dyDescent="0.35">
      <c r="A439" t="s">
        <v>1523</v>
      </c>
      <c r="B439" t="s">
        <v>1524</v>
      </c>
      <c r="C439" t="s">
        <v>1525</v>
      </c>
      <c r="D439" t="s">
        <v>1552</v>
      </c>
      <c r="E439" t="s">
        <v>1553</v>
      </c>
      <c r="F439">
        <v>18.84</v>
      </c>
      <c r="G439" t="s">
        <v>1554</v>
      </c>
      <c r="H439" t="s">
        <v>43</v>
      </c>
      <c r="I439">
        <v>8</v>
      </c>
      <c r="J439" t="s">
        <v>1555</v>
      </c>
      <c r="K439" t="s">
        <v>1523</v>
      </c>
    </row>
    <row r="440" spans="1:11" x14ac:dyDescent="0.35">
      <c r="A440" t="s">
        <v>1523</v>
      </c>
      <c r="B440" t="s">
        <v>1524</v>
      </c>
      <c r="C440" t="s">
        <v>1525</v>
      </c>
      <c r="D440" t="s">
        <v>1556</v>
      </c>
      <c r="E440" t="s">
        <v>1557</v>
      </c>
      <c r="F440">
        <v>84109</v>
      </c>
      <c r="G440" t="s">
        <v>1558</v>
      </c>
      <c r="H440" t="s">
        <v>196</v>
      </c>
      <c r="I440">
        <v>7</v>
      </c>
      <c r="J440" t="s">
        <v>1559</v>
      </c>
      <c r="K440" t="s">
        <v>1523</v>
      </c>
    </row>
    <row r="441" spans="1:11" x14ac:dyDescent="0.35">
      <c r="A441" t="s">
        <v>1523</v>
      </c>
      <c r="B441" t="s">
        <v>1524</v>
      </c>
      <c r="C441" t="s">
        <v>1525</v>
      </c>
      <c r="D441" t="s">
        <v>1560</v>
      </c>
      <c r="E441" t="s">
        <v>1561</v>
      </c>
      <c r="F441">
        <v>57862</v>
      </c>
      <c r="G441" t="s">
        <v>1562</v>
      </c>
      <c r="H441" t="s">
        <v>196</v>
      </c>
      <c r="I441">
        <v>6</v>
      </c>
      <c r="J441" t="s">
        <v>1563</v>
      </c>
      <c r="K441" t="s">
        <v>1523</v>
      </c>
    </row>
    <row r="442" spans="1:11" x14ac:dyDescent="0.35">
      <c r="A442" t="s">
        <v>1564</v>
      </c>
      <c r="B442" t="s">
        <v>1565</v>
      </c>
      <c r="C442" t="s">
        <v>198</v>
      </c>
      <c r="D442" t="s">
        <v>207</v>
      </c>
      <c r="E442" t="s">
        <v>208</v>
      </c>
      <c r="F442">
        <v>14.67</v>
      </c>
      <c r="G442" t="s">
        <v>325</v>
      </c>
      <c r="H442" t="s">
        <v>43</v>
      </c>
      <c r="I442">
        <v>57</v>
      </c>
      <c r="J442" t="s">
        <v>1566</v>
      </c>
      <c r="K442" t="s">
        <v>1564</v>
      </c>
    </row>
    <row r="443" spans="1:11" x14ac:dyDescent="0.35">
      <c r="A443" t="s">
        <v>1564</v>
      </c>
      <c r="B443" t="s">
        <v>1565</v>
      </c>
      <c r="C443" t="s">
        <v>198</v>
      </c>
      <c r="D443" t="s">
        <v>221</v>
      </c>
      <c r="E443" t="s">
        <v>222</v>
      </c>
      <c r="F443">
        <v>15.24</v>
      </c>
      <c r="G443" t="s">
        <v>1567</v>
      </c>
      <c r="H443" t="s">
        <v>43</v>
      </c>
      <c r="I443">
        <v>23</v>
      </c>
      <c r="J443" t="s">
        <v>1568</v>
      </c>
      <c r="K443" t="s">
        <v>1564</v>
      </c>
    </row>
    <row r="444" spans="1:11" x14ac:dyDescent="0.35">
      <c r="A444" t="s">
        <v>1564</v>
      </c>
      <c r="B444" t="s">
        <v>1565</v>
      </c>
      <c r="C444" t="s">
        <v>198</v>
      </c>
      <c r="D444" t="s">
        <v>1569</v>
      </c>
      <c r="E444" t="s">
        <v>1570</v>
      </c>
      <c r="F444">
        <v>15.93</v>
      </c>
      <c r="G444" t="s">
        <v>1571</v>
      </c>
      <c r="H444" t="s">
        <v>43</v>
      </c>
      <c r="I444">
        <v>31</v>
      </c>
      <c r="J444" t="s">
        <v>1572</v>
      </c>
      <c r="K444" t="s">
        <v>1564</v>
      </c>
    </row>
    <row r="445" spans="1:11" x14ac:dyDescent="0.35">
      <c r="A445" t="s">
        <v>1564</v>
      </c>
      <c r="B445" t="s">
        <v>1565</v>
      </c>
      <c r="C445" t="s">
        <v>198</v>
      </c>
      <c r="D445" t="s">
        <v>1573</v>
      </c>
      <c r="E445" t="s">
        <v>1574</v>
      </c>
      <c r="F445">
        <v>13.4</v>
      </c>
      <c r="G445" t="s">
        <v>1575</v>
      </c>
      <c r="H445" t="s">
        <v>43</v>
      </c>
      <c r="I445">
        <v>15</v>
      </c>
      <c r="J445" t="s">
        <v>1576</v>
      </c>
      <c r="K445" t="s">
        <v>1564</v>
      </c>
    </row>
    <row r="446" spans="1:11" x14ac:dyDescent="0.35">
      <c r="A446" t="s">
        <v>1564</v>
      </c>
      <c r="B446" t="s">
        <v>1565</v>
      </c>
      <c r="C446" t="s">
        <v>198</v>
      </c>
      <c r="D446" t="s">
        <v>199</v>
      </c>
      <c r="E446" t="s">
        <v>200</v>
      </c>
      <c r="F446">
        <v>17.649999999999999</v>
      </c>
      <c r="G446" t="s">
        <v>1092</v>
      </c>
      <c r="H446" t="s">
        <v>43</v>
      </c>
      <c r="I446">
        <v>6</v>
      </c>
      <c r="J446" t="s">
        <v>1577</v>
      </c>
      <c r="K446" t="s">
        <v>1564</v>
      </c>
    </row>
    <row r="447" spans="1:11" x14ac:dyDescent="0.35">
      <c r="A447" t="s">
        <v>1564</v>
      </c>
      <c r="B447" t="s">
        <v>1565</v>
      </c>
      <c r="C447" t="s">
        <v>198</v>
      </c>
      <c r="D447" t="s">
        <v>1578</v>
      </c>
      <c r="E447" t="s">
        <v>1579</v>
      </c>
      <c r="F447">
        <v>15.61</v>
      </c>
      <c r="G447" t="s">
        <v>1580</v>
      </c>
      <c r="H447" t="s">
        <v>43</v>
      </c>
      <c r="I447">
        <v>6</v>
      </c>
      <c r="J447" t="s">
        <v>1581</v>
      </c>
      <c r="K447" t="s">
        <v>1564</v>
      </c>
    </row>
    <row r="448" spans="1:11" x14ac:dyDescent="0.35">
      <c r="A448" t="s">
        <v>1564</v>
      </c>
      <c r="B448" t="s">
        <v>1565</v>
      </c>
      <c r="C448" t="s">
        <v>198</v>
      </c>
      <c r="D448" t="s">
        <v>1582</v>
      </c>
      <c r="E448" t="s">
        <v>1583</v>
      </c>
      <c r="F448">
        <v>15.16</v>
      </c>
      <c r="G448" t="s">
        <v>1584</v>
      </c>
      <c r="H448" t="s">
        <v>43</v>
      </c>
      <c r="I448">
        <v>7</v>
      </c>
      <c r="J448" t="s">
        <v>1585</v>
      </c>
      <c r="K448" t="s">
        <v>1564</v>
      </c>
    </row>
    <row r="449" spans="1:11" x14ac:dyDescent="0.35">
      <c r="A449" t="s">
        <v>1564</v>
      </c>
      <c r="B449" t="s">
        <v>1565</v>
      </c>
      <c r="C449" t="s">
        <v>198</v>
      </c>
      <c r="D449" t="s">
        <v>211</v>
      </c>
      <c r="E449" t="s">
        <v>212</v>
      </c>
      <c r="F449">
        <v>17.28</v>
      </c>
      <c r="G449" t="s">
        <v>1586</v>
      </c>
      <c r="H449" t="s">
        <v>43</v>
      </c>
      <c r="I449">
        <v>4</v>
      </c>
      <c r="K449" t="s">
        <v>1564</v>
      </c>
    </row>
    <row r="450" spans="1:11" x14ac:dyDescent="0.35">
      <c r="A450" t="s">
        <v>1564</v>
      </c>
      <c r="B450" t="s">
        <v>1565</v>
      </c>
      <c r="C450" t="s">
        <v>198</v>
      </c>
      <c r="D450" t="s">
        <v>218</v>
      </c>
      <c r="E450" t="s">
        <v>219</v>
      </c>
      <c r="F450">
        <v>13.01</v>
      </c>
      <c r="G450" t="s">
        <v>1587</v>
      </c>
      <c r="H450" t="s">
        <v>43</v>
      </c>
      <c r="I450">
        <v>3</v>
      </c>
      <c r="K450" t="s">
        <v>1564</v>
      </c>
    </row>
    <row r="451" spans="1:11" x14ac:dyDescent="0.35">
      <c r="A451" t="s">
        <v>1564</v>
      </c>
      <c r="B451" t="s">
        <v>1565</v>
      </c>
      <c r="C451" t="s">
        <v>1588</v>
      </c>
      <c r="D451" t="s">
        <v>1589</v>
      </c>
      <c r="E451" t="s">
        <v>1590</v>
      </c>
      <c r="F451">
        <v>17.920000000000002</v>
      </c>
      <c r="G451" t="s">
        <v>1591</v>
      </c>
      <c r="H451" t="s">
        <v>43</v>
      </c>
      <c r="I451">
        <v>6</v>
      </c>
      <c r="J451" t="s">
        <v>1592</v>
      </c>
      <c r="K451" t="s">
        <v>1564</v>
      </c>
    </row>
    <row r="452" spans="1:11" x14ac:dyDescent="0.35">
      <c r="A452" t="s">
        <v>1593</v>
      </c>
      <c r="B452" t="s">
        <v>1593</v>
      </c>
      <c r="C452" t="s">
        <v>198</v>
      </c>
      <c r="D452" t="s">
        <v>199</v>
      </c>
      <c r="E452" t="s">
        <v>200</v>
      </c>
      <c r="F452">
        <v>17.149999999999999</v>
      </c>
      <c r="G452" t="s">
        <v>1594</v>
      </c>
      <c r="H452" t="s">
        <v>43</v>
      </c>
      <c r="I452">
        <v>76</v>
      </c>
      <c r="J452" t="s">
        <v>1595</v>
      </c>
      <c r="K452" t="s">
        <v>1593</v>
      </c>
    </row>
    <row r="453" spans="1:11" x14ac:dyDescent="0.35">
      <c r="A453" t="s">
        <v>1593</v>
      </c>
      <c r="B453" t="s">
        <v>1593</v>
      </c>
      <c r="C453" t="s">
        <v>198</v>
      </c>
      <c r="D453" t="s">
        <v>203</v>
      </c>
      <c r="E453" t="s">
        <v>204</v>
      </c>
      <c r="F453">
        <v>19.86</v>
      </c>
      <c r="G453" t="s">
        <v>518</v>
      </c>
      <c r="H453" t="s">
        <v>43</v>
      </c>
      <c r="I453">
        <v>15</v>
      </c>
      <c r="J453" t="s">
        <v>1596</v>
      </c>
      <c r="K453" t="s">
        <v>1593</v>
      </c>
    </row>
    <row r="454" spans="1:11" x14ac:dyDescent="0.35">
      <c r="A454" t="s">
        <v>1593</v>
      </c>
      <c r="B454" t="s">
        <v>1593</v>
      </c>
      <c r="C454" t="s">
        <v>198</v>
      </c>
      <c r="D454" t="s">
        <v>221</v>
      </c>
      <c r="E454" t="s">
        <v>222</v>
      </c>
      <c r="F454">
        <v>11.18</v>
      </c>
      <c r="G454" t="s">
        <v>1597</v>
      </c>
      <c r="H454" t="s">
        <v>43</v>
      </c>
      <c r="I454">
        <v>13</v>
      </c>
      <c r="J454" t="s">
        <v>1598</v>
      </c>
      <c r="K454" t="s">
        <v>1593</v>
      </c>
    </row>
    <row r="455" spans="1:11" x14ac:dyDescent="0.35">
      <c r="A455" t="s">
        <v>1593</v>
      </c>
      <c r="B455" t="s">
        <v>1593</v>
      </c>
      <c r="C455" t="s">
        <v>198</v>
      </c>
      <c r="D455" t="s">
        <v>207</v>
      </c>
      <c r="E455" t="s">
        <v>208</v>
      </c>
      <c r="F455">
        <v>18.11</v>
      </c>
      <c r="G455" t="s">
        <v>1599</v>
      </c>
      <c r="H455" t="s">
        <v>43</v>
      </c>
      <c r="I455">
        <v>7</v>
      </c>
      <c r="J455" t="s">
        <v>1600</v>
      </c>
      <c r="K455" t="s">
        <v>1593</v>
      </c>
    </row>
    <row r="456" spans="1:11" x14ac:dyDescent="0.35">
      <c r="A456" t="s">
        <v>1593</v>
      </c>
      <c r="B456" t="s">
        <v>1593</v>
      </c>
      <c r="C456" t="s">
        <v>198</v>
      </c>
      <c r="D456" t="s">
        <v>1573</v>
      </c>
      <c r="E456" t="s">
        <v>1574</v>
      </c>
      <c r="F456">
        <v>14.3</v>
      </c>
      <c r="G456" t="s">
        <v>1601</v>
      </c>
      <c r="H456" t="s">
        <v>43</v>
      </c>
      <c r="I456">
        <v>6</v>
      </c>
      <c r="J456" t="s">
        <v>1602</v>
      </c>
      <c r="K456" t="s">
        <v>1593</v>
      </c>
    </row>
    <row r="457" spans="1:11" x14ac:dyDescent="0.35">
      <c r="A457" t="s">
        <v>1593</v>
      </c>
      <c r="B457" t="s">
        <v>1593</v>
      </c>
      <c r="C457" t="s">
        <v>198</v>
      </c>
      <c r="D457" t="s">
        <v>1603</v>
      </c>
      <c r="E457" t="s">
        <v>1604</v>
      </c>
      <c r="F457">
        <v>23.28</v>
      </c>
      <c r="G457" t="s">
        <v>1605</v>
      </c>
      <c r="H457" t="s">
        <v>43</v>
      </c>
      <c r="I457">
        <v>6</v>
      </c>
      <c r="J457" t="s">
        <v>1606</v>
      </c>
      <c r="K457" t="s">
        <v>1593</v>
      </c>
    </row>
    <row r="458" spans="1:11" x14ac:dyDescent="0.35">
      <c r="A458" t="s">
        <v>1593</v>
      </c>
      <c r="B458" t="s">
        <v>1593</v>
      </c>
      <c r="C458" t="s">
        <v>198</v>
      </c>
      <c r="D458" t="s">
        <v>218</v>
      </c>
      <c r="E458" t="s">
        <v>219</v>
      </c>
      <c r="F458">
        <v>15.06</v>
      </c>
      <c r="G458" t="s">
        <v>1607</v>
      </c>
      <c r="H458" t="s">
        <v>43</v>
      </c>
      <c r="I458">
        <v>8</v>
      </c>
      <c r="J458" t="s">
        <v>1608</v>
      </c>
      <c r="K458" t="s">
        <v>1593</v>
      </c>
    </row>
    <row r="459" spans="1:11" x14ac:dyDescent="0.35">
      <c r="A459" t="s">
        <v>1593</v>
      </c>
      <c r="B459" t="s">
        <v>1593</v>
      </c>
      <c r="C459" t="s">
        <v>198</v>
      </c>
      <c r="D459" t="s">
        <v>1609</v>
      </c>
      <c r="E459" t="s">
        <v>1610</v>
      </c>
      <c r="F459">
        <v>15.97</v>
      </c>
      <c r="G459" t="s">
        <v>1137</v>
      </c>
      <c r="H459" t="s">
        <v>43</v>
      </c>
      <c r="I459">
        <v>6</v>
      </c>
      <c r="J459" t="s">
        <v>1611</v>
      </c>
      <c r="K459" t="s">
        <v>1593</v>
      </c>
    </row>
    <row r="460" spans="1:11" x14ac:dyDescent="0.35">
      <c r="A460" t="s">
        <v>1593</v>
      </c>
      <c r="B460" t="s">
        <v>1593</v>
      </c>
      <c r="C460" t="s">
        <v>198</v>
      </c>
      <c r="D460" t="s">
        <v>1612</v>
      </c>
      <c r="E460" t="s">
        <v>1613</v>
      </c>
      <c r="F460">
        <v>15.82</v>
      </c>
      <c r="G460" t="s">
        <v>1614</v>
      </c>
      <c r="H460" t="s">
        <v>43</v>
      </c>
      <c r="I460">
        <v>5</v>
      </c>
      <c r="K460" t="s">
        <v>1593</v>
      </c>
    </row>
    <row r="461" spans="1:11" x14ac:dyDescent="0.35">
      <c r="A461" t="s">
        <v>1593</v>
      </c>
      <c r="B461" t="s">
        <v>1593</v>
      </c>
      <c r="C461" t="s">
        <v>1085</v>
      </c>
      <c r="D461" t="s">
        <v>1615</v>
      </c>
      <c r="E461" t="s">
        <v>1616</v>
      </c>
      <c r="F461">
        <v>12.91</v>
      </c>
      <c r="G461" t="s">
        <v>1617</v>
      </c>
      <c r="H461" t="s">
        <v>43</v>
      </c>
      <c r="I461">
        <v>13</v>
      </c>
      <c r="J461" t="s">
        <v>1618</v>
      </c>
      <c r="K461" t="s">
        <v>1593</v>
      </c>
    </row>
    <row r="462" spans="1:11" x14ac:dyDescent="0.35">
      <c r="A462" t="s">
        <v>1619</v>
      </c>
      <c r="B462" t="s">
        <v>1620</v>
      </c>
      <c r="C462" t="s">
        <v>338</v>
      </c>
      <c r="D462" t="s">
        <v>1621</v>
      </c>
      <c r="E462" t="s">
        <v>1622</v>
      </c>
      <c r="F462">
        <v>22.82</v>
      </c>
      <c r="G462" t="s">
        <v>1623</v>
      </c>
      <c r="H462" t="s">
        <v>43</v>
      </c>
      <c r="I462">
        <v>106</v>
      </c>
      <c r="J462" t="s">
        <v>1624</v>
      </c>
      <c r="K462" t="s">
        <v>1619</v>
      </c>
    </row>
    <row r="463" spans="1:11" x14ac:dyDescent="0.35">
      <c r="A463" t="s">
        <v>1619</v>
      </c>
      <c r="B463" t="s">
        <v>1620</v>
      </c>
      <c r="C463" t="s">
        <v>338</v>
      </c>
      <c r="D463" t="s">
        <v>128</v>
      </c>
      <c r="E463" t="s">
        <v>129</v>
      </c>
      <c r="F463">
        <v>28.43</v>
      </c>
      <c r="G463" t="s">
        <v>1625</v>
      </c>
      <c r="H463" t="s">
        <v>43</v>
      </c>
      <c r="I463">
        <v>17</v>
      </c>
      <c r="J463" t="s">
        <v>1626</v>
      </c>
      <c r="K463" t="s">
        <v>1619</v>
      </c>
    </row>
    <row r="464" spans="1:11" x14ac:dyDescent="0.35">
      <c r="A464" t="s">
        <v>1619</v>
      </c>
      <c r="B464" t="s">
        <v>1620</v>
      </c>
      <c r="C464" t="s">
        <v>338</v>
      </c>
      <c r="D464" t="s">
        <v>1627</v>
      </c>
      <c r="E464" t="s">
        <v>1628</v>
      </c>
      <c r="F464">
        <v>22.91</v>
      </c>
      <c r="G464" t="s">
        <v>1629</v>
      </c>
      <c r="H464" t="s">
        <v>43</v>
      </c>
      <c r="I464">
        <v>69</v>
      </c>
      <c r="J464" t="s">
        <v>1630</v>
      </c>
      <c r="K464" t="s">
        <v>1619</v>
      </c>
    </row>
    <row r="465" spans="1:11" x14ac:dyDescent="0.35">
      <c r="A465" t="s">
        <v>1619</v>
      </c>
      <c r="B465" t="s">
        <v>1620</v>
      </c>
      <c r="C465" t="s">
        <v>338</v>
      </c>
      <c r="D465" t="s">
        <v>121</v>
      </c>
      <c r="E465" t="s">
        <v>122</v>
      </c>
      <c r="F465">
        <v>18.37</v>
      </c>
      <c r="G465" t="s">
        <v>1631</v>
      </c>
      <c r="H465" t="s">
        <v>43</v>
      </c>
      <c r="I465">
        <v>5</v>
      </c>
      <c r="K465" t="s">
        <v>1619</v>
      </c>
    </row>
    <row r="466" spans="1:11" x14ac:dyDescent="0.35">
      <c r="A466" t="s">
        <v>1619</v>
      </c>
      <c r="B466" t="s">
        <v>1620</v>
      </c>
      <c r="C466" t="s">
        <v>338</v>
      </c>
      <c r="D466" t="s">
        <v>1632</v>
      </c>
      <c r="E466" t="s">
        <v>1633</v>
      </c>
      <c r="F466">
        <v>16</v>
      </c>
      <c r="G466" t="s">
        <v>1634</v>
      </c>
      <c r="H466" t="s">
        <v>43</v>
      </c>
      <c r="I466">
        <v>7</v>
      </c>
      <c r="J466" t="s">
        <v>1635</v>
      </c>
      <c r="K466" t="s">
        <v>1619</v>
      </c>
    </row>
    <row r="467" spans="1:11" x14ac:dyDescent="0.35">
      <c r="A467" t="s">
        <v>1619</v>
      </c>
      <c r="B467" t="s">
        <v>1620</v>
      </c>
      <c r="C467" t="s">
        <v>338</v>
      </c>
      <c r="D467" t="s">
        <v>1007</v>
      </c>
      <c r="E467" t="s">
        <v>1008</v>
      </c>
      <c r="F467">
        <v>13.43</v>
      </c>
      <c r="G467" t="s">
        <v>1636</v>
      </c>
      <c r="H467" t="s">
        <v>43</v>
      </c>
      <c r="I467">
        <v>9</v>
      </c>
      <c r="J467" t="s">
        <v>1637</v>
      </c>
      <c r="K467" t="s">
        <v>1619</v>
      </c>
    </row>
    <row r="468" spans="1:11" x14ac:dyDescent="0.35">
      <c r="A468" t="s">
        <v>1619</v>
      </c>
      <c r="B468" t="s">
        <v>1620</v>
      </c>
      <c r="C468" t="s">
        <v>338</v>
      </c>
      <c r="D468" t="s">
        <v>147</v>
      </c>
      <c r="E468" t="s">
        <v>148</v>
      </c>
      <c r="F468">
        <v>22.36</v>
      </c>
      <c r="G468" t="s">
        <v>1638</v>
      </c>
      <c r="H468" t="s">
        <v>43</v>
      </c>
      <c r="I468">
        <v>21</v>
      </c>
      <c r="J468" t="s">
        <v>1639</v>
      </c>
      <c r="K468" t="s">
        <v>1619</v>
      </c>
    </row>
    <row r="469" spans="1:11" x14ac:dyDescent="0.35">
      <c r="A469" t="s">
        <v>1619</v>
      </c>
      <c r="B469" t="s">
        <v>1620</v>
      </c>
      <c r="C469" t="s">
        <v>338</v>
      </c>
      <c r="D469" t="s">
        <v>1640</v>
      </c>
      <c r="E469" t="s">
        <v>1641</v>
      </c>
      <c r="F469">
        <v>20.49</v>
      </c>
      <c r="G469" t="s">
        <v>1642</v>
      </c>
      <c r="H469" t="s">
        <v>43</v>
      </c>
      <c r="I469">
        <v>19</v>
      </c>
      <c r="J469" t="s">
        <v>1643</v>
      </c>
      <c r="K469" t="s">
        <v>1619</v>
      </c>
    </row>
    <row r="470" spans="1:11" x14ac:dyDescent="0.35">
      <c r="A470" t="s">
        <v>1619</v>
      </c>
      <c r="B470" t="s">
        <v>1620</v>
      </c>
      <c r="C470" t="s">
        <v>338</v>
      </c>
      <c r="D470" t="s">
        <v>997</v>
      </c>
      <c r="E470" t="s">
        <v>998</v>
      </c>
      <c r="F470">
        <v>74834</v>
      </c>
      <c r="G470" t="s">
        <v>1644</v>
      </c>
      <c r="H470" t="s">
        <v>196</v>
      </c>
      <c r="I470">
        <v>7</v>
      </c>
      <c r="J470" t="s">
        <v>1645</v>
      </c>
      <c r="K470" t="s">
        <v>1619</v>
      </c>
    </row>
    <row r="471" spans="1:11" x14ac:dyDescent="0.35">
      <c r="A471" t="s">
        <v>1619</v>
      </c>
      <c r="B471" t="s">
        <v>1620</v>
      </c>
      <c r="C471" t="s">
        <v>338</v>
      </c>
      <c r="D471" t="s">
        <v>1646</v>
      </c>
      <c r="E471" t="s">
        <v>1647</v>
      </c>
      <c r="F471">
        <v>22.48</v>
      </c>
      <c r="G471" t="s">
        <v>1648</v>
      </c>
      <c r="H471" t="s">
        <v>43</v>
      </c>
      <c r="I471">
        <v>10</v>
      </c>
      <c r="J471" t="s">
        <v>1649</v>
      </c>
      <c r="K471" t="s">
        <v>1619</v>
      </c>
    </row>
    <row r="472" spans="1:11" x14ac:dyDescent="0.35">
      <c r="A472" t="s">
        <v>1650</v>
      </c>
      <c r="B472" t="s">
        <v>1650</v>
      </c>
      <c r="C472" t="s">
        <v>338</v>
      </c>
      <c r="D472" t="s">
        <v>128</v>
      </c>
      <c r="E472" t="s">
        <v>129</v>
      </c>
      <c r="F472">
        <v>28.76</v>
      </c>
      <c r="G472" t="s">
        <v>1651</v>
      </c>
      <c r="H472" t="s">
        <v>43</v>
      </c>
      <c r="I472">
        <v>194</v>
      </c>
      <c r="J472" t="s">
        <v>1652</v>
      </c>
      <c r="K472" t="s">
        <v>1650</v>
      </c>
    </row>
    <row r="473" spans="1:11" x14ac:dyDescent="0.35">
      <c r="A473" t="s">
        <v>1650</v>
      </c>
      <c r="B473" t="s">
        <v>1650</v>
      </c>
      <c r="C473" t="s">
        <v>338</v>
      </c>
      <c r="D473" t="s">
        <v>144</v>
      </c>
      <c r="E473" t="s">
        <v>145</v>
      </c>
      <c r="F473">
        <v>30.55</v>
      </c>
      <c r="G473" t="s">
        <v>1653</v>
      </c>
      <c r="H473" t="s">
        <v>43</v>
      </c>
      <c r="I473">
        <v>87</v>
      </c>
      <c r="J473" t="s">
        <v>1654</v>
      </c>
      <c r="K473" t="s">
        <v>1650</v>
      </c>
    </row>
    <row r="474" spans="1:11" x14ac:dyDescent="0.35">
      <c r="A474" t="s">
        <v>1650</v>
      </c>
      <c r="B474" t="s">
        <v>1650</v>
      </c>
      <c r="C474" t="s">
        <v>338</v>
      </c>
      <c r="D474" t="s">
        <v>121</v>
      </c>
      <c r="E474" t="s">
        <v>122</v>
      </c>
      <c r="F474">
        <v>13.21</v>
      </c>
      <c r="G474" t="s">
        <v>1655</v>
      </c>
      <c r="H474" t="s">
        <v>43</v>
      </c>
      <c r="I474">
        <v>22</v>
      </c>
      <c r="J474" t="s">
        <v>1656</v>
      </c>
      <c r="K474" t="s">
        <v>1650</v>
      </c>
    </row>
    <row r="475" spans="1:11" x14ac:dyDescent="0.35">
      <c r="A475" t="s">
        <v>1650</v>
      </c>
      <c r="B475" t="s">
        <v>1650</v>
      </c>
      <c r="C475" t="s">
        <v>338</v>
      </c>
      <c r="D475" t="s">
        <v>147</v>
      </c>
      <c r="E475" t="s">
        <v>148</v>
      </c>
      <c r="F475">
        <v>26.06</v>
      </c>
      <c r="G475" t="s">
        <v>1657</v>
      </c>
      <c r="H475" t="s">
        <v>43</v>
      </c>
      <c r="I475">
        <v>16</v>
      </c>
      <c r="J475" t="s">
        <v>1658</v>
      </c>
      <c r="K475" t="s">
        <v>1650</v>
      </c>
    </row>
    <row r="476" spans="1:11" x14ac:dyDescent="0.35">
      <c r="A476" t="s">
        <v>1650</v>
      </c>
      <c r="B476" t="s">
        <v>1650</v>
      </c>
      <c r="C476" t="s">
        <v>338</v>
      </c>
      <c r="D476" t="s">
        <v>1007</v>
      </c>
      <c r="E476" t="s">
        <v>1008</v>
      </c>
      <c r="F476">
        <v>11.12</v>
      </c>
      <c r="G476" t="s">
        <v>1659</v>
      </c>
      <c r="H476" t="s">
        <v>43</v>
      </c>
      <c r="I476">
        <v>10</v>
      </c>
      <c r="J476" t="s">
        <v>1660</v>
      </c>
      <c r="K476" t="s">
        <v>1650</v>
      </c>
    </row>
    <row r="477" spans="1:11" x14ac:dyDescent="0.35">
      <c r="A477" t="s">
        <v>1650</v>
      </c>
      <c r="B477" t="s">
        <v>1650</v>
      </c>
      <c r="C477" t="s">
        <v>338</v>
      </c>
      <c r="D477" t="s">
        <v>1632</v>
      </c>
      <c r="E477" t="s">
        <v>1633</v>
      </c>
      <c r="F477">
        <v>14.3</v>
      </c>
      <c r="G477" t="s">
        <v>1601</v>
      </c>
      <c r="H477" t="s">
        <v>43</v>
      </c>
      <c r="I477">
        <v>16</v>
      </c>
      <c r="J477" t="s">
        <v>1661</v>
      </c>
      <c r="K477" t="s">
        <v>1650</v>
      </c>
    </row>
    <row r="478" spans="1:11" x14ac:dyDescent="0.35">
      <c r="A478" t="s">
        <v>1650</v>
      </c>
      <c r="B478" t="s">
        <v>1650</v>
      </c>
      <c r="C478" t="s">
        <v>338</v>
      </c>
      <c r="D478" t="s">
        <v>1662</v>
      </c>
      <c r="E478" t="s">
        <v>1663</v>
      </c>
      <c r="F478">
        <v>18.329999999999998</v>
      </c>
      <c r="G478" t="s">
        <v>1664</v>
      </c>
      <c r="H478" t="s">
        <v>43</v>
      </c>
      <c r="I478">
        <v>14</v>
      </c>
      <c r="J478" t="s">
        <v>1665</v>
      </c>
      <c r="K478" t="s">
        <v>1650</v>
      </c>
    </row>
    <row r="479" spans="1:11" x14ac:dyDescent="0.35">
      <c r="A479" t="s">
        <v>1650</v>
      </c>
      <c r="B479" t="s">
        <v>1650</v>
      </c>
      <c r="C479" t="s">
        <v>338</v>
      </c>
      <c r="D479" t="s">
        <v>125</v>
      </c>
      <c r="E479" t="s">
        <v>126</v>
      </c>
      <c r="F479">
        <v>27.8</v>
      </c>
      <c r="G479" t="s">
        <v>1666</v>
      </c>
      <c r="H479" t="s">
        <v>43</v>
      </c>
      <c r="I479">
        <v>20</v>
      </c>
      <c r="J479" t="s">
        <v>1667</v>
      </c>
      <c r="K479" t="s">
        <v>1650</v>
      </c>
    </row>
    <row r="480" spans="1:11" x14ac:dyDescent="0.35">
      <c r="A480" t="s">
        <v>1650</v>
      </c>
      <c r="B480" t="s">
        <v>1650</v>
      </c>
      <c r="C480" t="s">
        <v>338</v>
      </c>
      <c r="D480" t="s">
        <v>1646</v>
      </c>
      <c r="E480" t="s">
        <v>1647</v>
      </c>
      <c r="F480">
        <v>34.82</v>
      </c>
      <c r="G480" t="s">
        <v>1668</v>
      </c>
      <c r="H480" t="s">
        <v>43</v>
      </c>
      <c r="I480">
        <v>6</v>
      </c>
      <c r="J480" t="s">
        <v>1669</v>
      </c>
      <c r="K480" t="s">
        <v>1650</v>
      </c>
    </row>
    <row r="481" spans="1:11" x14ac:dyDescent="0.35">
      <c r="A481" t="s">
        <v>1650</v>
      </c>
      <c r="B481" t="s">
        <v>1650</v>
      </c>
      <c r="C481" t="s">
        <v>338</v>
      </c>
      <c r="D481" t="s">
        <v>353</v>
      </c>
      <c r="E481" t="s">
        <v>354</v>
      </c>
      <c r="F481">
        <v>22.76</v>
      </c>
      <c r="G481" t="s">
        <v>1670</v>
      </c>
      <c r="H481" t="s">
        <v>43</v>
      </c>
      <c r="I481">
        <v>12</v>
      </c>
      <c r="J481" t="s">
        <v>1671</v>
      </c>
      <c r="K481" t="s">
        <v>1650</v>
      </c>
    </row>
    <row r="482" spans="1:11" x14ac:dyDescent="0.35">
      <c r="A482" t="s">
        <v>1672</v>
      </c>
      <c r="B482" t="s">
        <v>1673</v>
      </c>
      <c r="C482" t="s">
        <v>1674</v>
      </c>
      <c r="D482" t="s">
        <v>1675</v>
      </c>
      <c r="E482" t="s">
        <v>1676</v>
      </c>
      <c r="F482">
        <v>14.62</v>
      </c>
      <c r="G482" t="s">
        <v>1677</v>
      </c>
      <c r="H482" t="s">
        <v>43</v>
      </c>
      <c r="I482">
        <v>1031</v>
      </c>
      <c r="J482" t="s">
        <v>1678</v>
      </c>
      <c r="K482" t="s">
        <v>1672</v>
      </c>
    </row>
    <row r="483" spans="1:11" x14ac:dyDescent="0.35">
      <c r="A483" t="s">
        <v>1672</v>
      </c>
      <c r="B483" t="s">
        <v>1673</v>
      </c>
      <c r="C483" t="s">
        <v>1674</v>
      </c>
      <c r="D483" t="s">
        <v>1679</v>
      </c>
      <c r="E483" t="s">
        <v>1680</v>
      </c>
      <c r="F483">
        <v>11.89</v>
      </c>
      <c r="G483" t="s">
        <v>1681</v>
      </c>
      <c r="H483" t="s">
        <v>43</v>
      </c>
      <c r="I483">
        <v>170</v>
      </c>
      <c r="J483" t="s">
        <v>1682</v>
      </c>
      <c r="K483" t="s">
        <v>1672</v>
      </c>
    </row>
    <row r="484" spans="1:11" x14ac:dyDescent="0.35">
      <c r="A484" t="s">
        <v>1672</v>
      </c>
      <c r="B484" t="s">
        <v>1673</v>
      </c>
      <c r="C484" t="s">
        <v>1674</v>
      </c>
      <c r="D484" t="s">
        <v>1683</v>
      </c>
      <c r="E484" t="s">
        <v>1684</v>
      </c>
      <c r="F484">
        <v>11.41</v>
      </c>
      <c r="G484" t="s">
        <v>1685</v>
      </c>
      <c r="H484" t="s">
        <v>43</v>
      </c>
      <c r="I484">
        <v>6</v>
      </c>
      <c r="J484" t="s">
        <v>1686</v>
      </c>
      <c r="K484" t="s">
        <v>1672</v>
      </c>
    </row>
    <row r="485" spans="1:11" x14ac:dyDescent="0.35">
      <c r="A485" t="s">
        <v>1672</v>
      </c>
      <c r="B485" t="s">
        <v>1673</v>
      </c>
      <c r="C485" t="s">
        <v>338</v>
      </c>
      <c r="D485" t="s">
        <v>1687</v>
      </c>
      <c r="E485" t="s">
        <v>1688</v>
      </c>
      <c r="F485">
        <v>26.04</v>
      </c>
      <c r="G485" t="s">
        <v>1689</v>
      </c>
      <c r="H485" t="s">
        <v>43</v>
      </c>
      <c r="I485">
        <v>22</v>
      </c>
      <c r="J485" t="s">
        <v>1690</v>
      </c>
      <c r="K485" t="s">
        <v>1672</v>
      </c>
    </row>
    <row r="486" spans="1:11" x14ac:dyDescent="0.35">
      <c r="A486" t="s">
        <v>1672</v>
      </c>
      <c r="B486" t="s">
        <v>1673</v>
      </c>
      <c r="C486" t="s">
        <v>338</v>
      </c>
      <c r="D486" t="s">
        <v>144</v>
      </c>
      <c r="E486" t="s">
        <v>145</v>
      </c>
      <c r="F486">
        <v>25.52</v>
      </c>
      <c r="G486" t="s">
        <v>1691</v>
      </c>
      <c r="H486" t="s">
        <v>43</v>
      </c>
      <c r="I486">
        <v>39</v>
      </c>
      <c r="J486" t="s">
        <v>1692</v>
      </c>
      <c r="K486" t="s">
        <v>1672</v>
      </c>
    </row>
    <row r="487" spans="1:11" x14ac:dyDescent="0.35">
      <c r="A487" t="s">
        <v>1672</v>
      </c>
      <c r="B487" t="s">
        <v>1673</v>
      </c>
      <c r="C487" t="s">
        <v>338</v>
      </c>
      <c r="D487" t="s">
        <v>128</v>
      </c>
      <c r="E487" t="s">
        <v>129</v>
      </c>
      <c r="F487">
        <v>26.84</v>
      </c>
      <c r="G487" t="s">
        <v>1693</v>
      </c>
      <c r="H487" t="s">
        <v>43</v>
      </c>
      <c r="I487">
        <v>7</v>
      </c>
      <c r="J487" t="s">
        <v>1694</v>
      </c>
      <c r="K487" t="s">
        <v>1672</v>
      </c>
    </row>
    <row r="488" spans="1:11" x14ac:dyDescent="0.35">
      <c r="A488" t="s">
        <v>1672</v>
      </c>
      <c r="B488" t="s">
        <v>1673</v>
      </c>
      <c r="C488" t="s">
        <v>338</v>
      </c>
      <c r="D488" t="s">
        <v>1640</v>
      </c>
      <c r="E488" t="s">
        <v>1641</v>
      </c>
      <c r="F488">
        <v>17.86</v>
      </c>
      <c r="G488" t="s">
        <v>317</v>
      </c>
      <c r="H488" t="s">
        <v>43</v>
      </c>
      <c r="I488">
        <v>11</v>
      </c>
      <c r="J488" t="s">
        <v>1695</v>
      </c>
      <c r="K488" t="s">
        <v>1672</v>
      </c>
    </row>
    <row r="489" spans="1:11" x14ac:dyDescent="0.35">
      <c r="A489" t="s">
        <v>1672</v>
      </c>
      <c r="B489" t="s">
        <v>1673</v>
      </c>
      <c r="C489" t="s">
        <v>338</v>
      </c>
      <c r="D489" t="s">
        <v>1646</v>
      </c>
      <c r="E489" t="s">
        <v>1647</v>
      </c>
      <c r="F489">
        <v>24.56</v>
      </c>
      <c r="G489" t="s">
        <v>1696</v>
      </c>
      <c r="H489" t="s">
        <v>43</v>
      </c>
      <c r="I489">
        <v>6</v>
      </c>
      <c r="J489" t="s">
        <v>1697</v>
      </c>
      <c r="K489" t="s">
        <v>1672</v>
      </c>
    </row>
    <row r="490" spans="1:11" x14ac:dyDescent="0.35">
      <c r="A490" t="s">
        <v>1672</v>
      </c>
      <c r="B490" t="s">
        <v>1673</v>
      </c>
      <c r="C490" t="s">
        <v>338</v>
      </c>
      <c r="D490" t="s">
        <v>1007</v>
      </c>
      <c r="E490" t="s">
        <v>1008</v>
      </c>
      <c r="F490">
        <v>16.05</v>
      </c>
      <c r="G490" t="s">
        <v>1698</v>
      </c>
      <c r="H490" t="s">
        <v>43</v>
      </c>
      <c r="I490">
        <v>6</v>
      </c>
      <c r="J490" t="s">
        <v>1699</v>
      </c>
      <c r="K490" t="s">
        <v>1672</v>
      </c>
    </row>
    <row r="491" spans="1:11" x14ac:dyDescent="0.35">
      <c r="A491" t="s">
        <v>1672</v>
      </c>
      <c r="B491" t="s">
        <v>1673</v>
      </c>
      <c r="C491" t="s">
        <v>338</v>
      </c>
      <c r="D491" t="s">
        <v>1700</v>
      </c>
      <c r="E491" t="s">
        <v>1701</v>
      </c>
      <c r="F491">
        <v>10</v>
      </c>
      <c r="G491" t="s">
        <v>1702</v>
      </c>
      <c r="H491" t="s">
        <v>43</v>
      </c>
      <c r="I491">
        <v>5</v>
      </c>
      <c r="K491" t="s">
        <v>1672</v>
      </c>
    </row>
    <row r="492" spans="1:11" x14ac:dyDescent="0.35">
      <c r="A492" t="s">
        <v>1703</v>
      </c>
      <c r="B492" t="s">
        <v>1703</v>
      </c>
      <c r="C492" t="s">
        <v>198</v>
      </c>
      <c r="D492" t="s">
        <v>199</v>
      </c>
      <c r="E492" t="s">
        <v>200</v>
      </c>
      <c r="F492">
        <v>17.100000000000001</v>
      </c>
      <c r="G492" t="s">
        <v>117</v>
      </c>
      <c r="H492" t="s">
        <v>43</v>
      </c>
      <c r="I492">
        <v>36</v>
      </c>
      <c r="J492" t="s">
        <v>1704</v>
      </c>
      <c r="K492" t="s">
        <v>1703</v>
      </c>
    </row>
    <row r="493" spans="1:11" x14ac:dyDescent="0.35">
      <c r="A493" t="s">
        <v>1703</v>
      </c>
      <c r="B493" t="s">
        <v>1703</v>
      </c>
      <c r="C493" t="s">
        <v>198</v>
      </c>
      <c r="D493" t="s">
        <v>1573</v>
      </c>
      <c r="E493" t="s">
        <v>1574</v>
      </c>
      <c r="F493">
        <v>14.49</v>
      </c>
      <c r="G493" t="s">
        <v>1705</v>
      </c>
      <c r="H493" t="s">
        <v>43</v>
      </c>
      <c r="I493">
        <v>231</v>
      </c>
      <c r="J493" t="s">
        <v>1706</v>
      </c>
      <c r="K493" t="s">
        <v>1703</v>
      </c>
    </row>
    <row r="494" spans="1:11" x14ac:dyDescent="0.35">
      <c r="A494" t="s">
        <v>1703</v>
      </c>
      <c r="B494" t="s">
        <v>1703</v>
      </c>
      <c r="C494" t="s">
        <v>198</v>
      </c>
      <c r="D494" t="s">
        <v>207</v>
      </c>
      <c r="E494" t="s">
        <v>208</v>
      </c>
      <c r="F494">
        <v>12.99</v>
      </c>
      <c r="G494" t="s">
        <v>1707</v>
      </c>
      <c r="H494" t="s">
        <v>43</v>
      </c>
      <c r="I494">
        <v>52</v>
      </c>
      <c r="J494" t="s">
        <v>1708</v>
      </c>
      <c r="K494" t="s">
        <v>1703</v>
      </c>
    </row>
    <row r="495" spans="1:11" x14ac:dyDescent="0.35">
      <c r="A495" t="s">
        <v>1703</v>
      </c>
      <c r="B495" t="s">
        <v>1703</v>
      </c>
      <c r="C495" t="s">
        <v>198</v>
      </c>
      <c r="D495" t="s">
        <v>1709</v>
      </c>
      <c r="E495" t="s">
        <v>1710</v>
      </c>
      <c r="F495">
        <v>15.9</v>
      </c>
      <c r="G495" t="s">
        <v>291</v>
      </c>
      <c r="H495" t="s">
        <v>43</v>
      </c>
      <c r="I495">
        <v>264</v>
      </c>
      <c r="J495" t="s">
        <v>1711</v>
      </c>
      <c r="K495" t="s">
        <v>1703</v>
      </c>
    </row>
    <row r="496" spans="1:11" x14ac:dyDescent="0.35">
      <c r="A496" t="s">
        <v>1703</v>
      </c>
      <c r="B496" t="s">
        <v>1703</v>
      </c>
      <c r="C496" t="s">
        <v>198</v>
      </c>
      <c r="D496" t="s">
        <v>203</v>
      </c>
      <c r="E496" t="s">
        <v>204</v>
      </c>
      <c r="F496">
        <v>16.87</v>
      </c>
      <c r="G496" t="s">
        <v>185</v>
      </c>
      <c r="H496" t="s">
        <v>43</v>
      </c>
      <c r="I496">
        <v>120</v>
      </c>
      <c r="J496" t="s">
        <v>1712</v>
      </c>
      <c r="K496" t="s">
        <v>1703</v>
      </c>
    </row>
    <row r="497" spans="1:11" x14ac:dyDescent="0.35">
      <c r="A497" t="s">
        <v>1703</v>
      </c>
      <c r="B497" t="s">
        <v>1703</v>
      </c>
      <c r="C497" t="s">
        <v>198</v>
      </c>
      <c r="D497" t="s">
        <v>221</v>
      </c>
      <c r="E497" t="s">
        <v>222</v>
      </c>
      <c r="F497">
        <v>13.66</v>
      </c>
      <c r="G497" t="s">
        <v>1713</v>
      </c>
      <c r="H497" t="s">
        <v>43</v>
      </c>
      <c r="I497">
        <v>42</v>
      </c>
      <c r="J497" t="s">
        <v>1714</v>
      </c>
      <c r="K497" t="s">
        <v>1703</v>
      </c>
    </row>
    <row r="498" spans="1:11" x14ac:dyDescent="0.35">
      <c r="A498" t="s">
        <v>1703</v>
      </c>
      <c r="B498" t="s">
        <v>1703</v>
      </c>
      <c r="C498" t="s">
        <v>198</v>
      </c>
      <c r="D498" t="s">
        <v>1578</v>
      </c>
      <c r="E498" t="s">
        <v>1579</v>
      </c>
      <c r="F498">
        <v>15.59</v>
      </c>
      <c r="G498" t="s">
        <v>1715</v>
      </c>
      <c r="H498" t="s">
        <v>43</v>
      </c>
      <c r="I498">
        <v>9</v>
      </c>
      <c r="J498" t="s">
        <v>1716</v>
      </c>
      <c r="K498" t="s">
        <v>1703</v>
      </c>
    </row>
    <row r="499" spans="1:11" x14ac:dyDescent="0.35">
      <c r="A499" t="s">
        <v>1703</v>
      </c>
      <c r="B499" t="s">
        <v>1703</v>
      </c>
      <c r="C499" t="s">
        <v>198</v>
      </c>
      <c r="D499" t="s">
        <v>218</v>
      </c>
      <c r="E499" t="s">
        <v>219</v>
      </c>
      <c r="F499">
        <v>16.04</v>
      </c>
      <c r="G499" t="s">
        <v>1717</v>
      </c>
      <c r="H499" t="s">
        <v>43</v>
      </c>
      <c r="I499">
        <v>20</v>
      </c>
      <c r="J499" t="s">
        <v>1718</v>
      </c>
      <c r="K499" t="s">
        <v>1703</v>
      </c>
    </row>
    <row r="500" spans="1:11" x14ac:dyDescent="0.35">
      <c r="A500" t="s">
        <v>1703</v>
      </c>
      <c r="B500" t="s">
        <v>1703</v>
      </c>
      <c r="C500" t="s">
        <v>198</v>
      </c>
      <c r="D500" t="s">
        <v>1582</v>
      </c>
      <c r="E500" t="s">
        <v>1583</v>
      </c>
      <c r="F500">
        <v>15.35</v>
      </c>
      <c r="G500" t="s">
        <v>1719</v>
      </c>
      <c r="H500" t="s">
        <v>43</v>
      </c>
      <c r="I500">
        <v>7</v>
      </c>
      <c r="J500" t="s">
        <v>1720</v>
      </c>
      <c r="K500" t="s">
        <v>1703</v>
      </c>
    </row>
    <row r="501" spans="1:11" x14ac:dyDescent="0.35">
      <c r="A501" t="s">
        <v>1703</v>
      </c>
      <c r="B501" t="s">
        <v>1703</v>
      </c>
      <c r="C501" t="s">
        <v>198</v>
      </c>
      <c r="D501" t="s">
        <v>333</v>
      </c>
      <c r="E501" t="s">
        <v>334</v>
      </c>
      <c r="F501">
        <v>16.8</v>
      </c>
      <c r="G501" t="s">
        <v>1721</v>
      </c>
      <c r="H501" t="s">
        <v>43</v>
      </c>
      <c r="I501">
        <v>6</v>
      </c>
      <c r="J501" t="s">
        <v>1722</v>
      </c>
      <c r="K501" t="s">
        <v>1703</v>
      </c>
    </row>
    <row r="502" spans="1:11" x14ac:dyDescent="0.35">
      <c r="A502" t="s">
        <v>1723</v>
      </c>
      <c r="B502" t="s">
        <v>1724</v>
      </c>
      <c r="C502" t="s">
        <v>235</v>
      </c>
      <c r="D502" t="s">
        <v>1725</v>
      </c>
      <c r="E502" t="s">
        <v>1726</v>
      </c>
      <c r="F502">
        <v>20.21</v>
      </c>
      <c r="G502" t="s">
        <v>1727</v>
      </c>
      <c r="H502" t="s">
        <v>43</v>
      </c>
      <c r="I502">
        <v>14</v>
      </c>
      <c r="J502" t="s">
        <v>1728</v>
      </c>
      <c r="K502" t="s">
        <v>1723</v>
      </c>
    </row>
    <row r="503" spans="1:11" x14ac:dyDescent="0.35">
      <c r="A503" t="s">
        <v>1723</v>
      </c>
      <c r="B503" t="s">
        <v>1724</v>
      </c>
      <c r="C503" t="s">
        <v>235</v>
      </c>
      <c r="D503" t="s">
        <v>236</v>
      </c>
      <c r="E503" t="s">
        <v>237</v>
      </c>
      <c r="F503">
        <v>75097</v>
      </c>
      <c r="G503" t="s">
        <v>1729</v>
      </c>
      <c r="H503" t="s">
        <v>196</v>
      </c>
      <c r="I503">
        <v>15</v>
      </c>
      <c r="J503" t="s">
        <v>1730</v>
      </c>
      <c r="K503" t="s">
        <v>1723</v>
      </c>
    </row>
    <row r="504" spans="1:11" x14ac:dyDescent="0.35">
      <c r="A504" t="s">
        <v>1723</v>
      </c>
      <c r="B504" t="s">
        <v>1724</v>
      </c>
      <c r="C504" t="s">
        <v>235</v>
      </c>
      <c r="D504" t="s">
        <v>252</v>
      </c>
      <c r="E504" t="s">
        <v>253</v>
      </c>
      <c r="F504">
        <v>160517</v>
      </c>
      <c r="G504" t="s">
        <v>1731</v>
      </c>
      <c r="H504" t="s">
        <v>196</v>
      </c>
      <c r="I504">
        <v>14</v>
      </c>
      <c r="J504" t="s">
        <v>1732</v>
      </c>
      <c r="K504" t="s">
        <v>1723</v>
      </c>
    </row>
    <row r="505" spans="1:11" x14ac:dyDescent="0.35">
      <c r="A505" t="s">
        <v>1723</v>
      </c>
      <c r="B505" t="s">
        <v>1724</v>
      </c>
      <c r="C505" t="s">
        <v>235</v>
      </c>
      <c r="D505" t="s">
        <v>1733</v>
      </c>
      <c r="E505" t="s">
        <v>1734</v>
      </c>
      <c r="F505">
        <v>93640</v>
      </c>
      <c r="G505" t="s">
        <v>1735</v>
      </c>
      <c r="H505" t="s">
        <v>196</v>
      </c>
      <c r="I505">
        <v>7</v>
      </c>
      <c r="J505" t="s">
        <v>1736</v>
      </c>
      <c r="K505" t="s">
        <v>1723</v>
      </c>
    </row>
    <row r="506" spans="1:11" x14ac:dyDescent="0.35">
      <c r="A506" t="s">
        <v>1723</v>
      </c>
      <c r="B506" t="s">
        <v>1724</v>
      </c>
      <c r="C506" t="s">
        <v>235</v>
      </c>
      <c r="D506" t="s">
        <v>866</v>
      </c>
      <c r="E506" t="s">
        <v>867</v>
      </c>
      <c r="F506">
        <v>92424</v>
      </c>
      <c r="G506" t="s">
        <v>1737</v>
      </c>
      <c r="H506" t="s">
        <v>196</v>
      </c>
      <c r="I506">
        <v>3</v>
      </c>
      <c r="K506" t="s">
        <v>1723</v>
      </c>
    </row>
    <row r="507" spans="1:11" x14ac:dyDescent="0.35">
      <c r="A507" t="s">
        <v>1723</v>
      </c>
      <c r="B507" t="s">
        <v>1724</v>
      </c>
      <c r="C507" t="s">
        <v>235</v>
      </c>
      <c r="D507" t="s">
        <v>248</v>
      </c>
      <c r="E507" t="s">
        <v>249</v>
      </c>
      <c r="F507">
        <v>140191</v>
      </c>
      <c r="G507" t="s">
        <v>1738</v>
      </c>
      <c r="H507" t="s">
        <v>196</v>
      </c>
      <c r="I507">
        <v>7</v>
      </c>
      <c r="J507" t="s">
        <v>1739</v>
      </c>
      <c r="K507" t="s">
        <v>1723</v>
      </c>
    </row>
    <row r="508" spans="1:11" x14ac:dyDescent="0.35">
      <c r="A508" t="s">
        <v>1723</v>
      </c>
      <c r="B508" t="s">
        <v>1724</v>
      </c>
      <c r="C508" t="s">
        <v>235</v>
      </c>
      <c r="D508" t="s">
        <v>874</v>
      </c>
      <c r="E508" t="s">
        <v>875</v>
      </c>
      <c r="F508">
        <v>60737</v>
      </c>
      <c r="G508" t="s">
        <v>1740</v>
      </c>
      <c r="H508" t="s">
        <v>196</v>
      </c>
      <c r="I508">
        <v>6</v>
      </c>
      <c r="J508" t="s">
        <v>1741</v>
      </c>
      <c r="K508" t="s">
        <v>1723</v>
      </c>
    </row>
    <row r="509" spans="1:11" x14ac:dyDescent="0.35">
      <c r="A509" t="s">
        <v>1723</v>
      </c>
      <c r="B509" t="s">
        <v>1724</v>
      </c>
      <c r="C509" t="s">
        <v>235</v>
      </c>
      <c r="D509" t="s">
        <v>860</v>
      </c>
      <c r="E509" t="s">
        <v>861</v>
      </c>
      <c r="F509">
        <v>14.33</v>
      </c>
      <c r="G509" t="s">
        <v>1742</v>
      </c>
      <c r="H509" t="s">
        <v>43</v>
      </c>
      <c r="I509">
        <v>8</v>
      </c>
      <c r="J509" t="s">
        <v>1743</v>
      </c>
      <c r="K509" t="s">
        <v>1723</v>
      </c>
    </row>
    <row r="510" spans="1:11" x14ac:dyDescent="0.35">
      <c r="A510" t="s">
        <v>1723</v>
      </c>
      <c r="B510" t="s">
        <v>1724</v>
      </c>
      <c r="C510" t="s">
        <v>235</v>
      </c>
      <c r="D510" t="s">
        <v>938</v>
      </c>
      <c r="E510" t="s">
        <v>939</v>
      </c>
      <c r="F510">
        <v>164380</v>
      </c>
      <c r="G510" t="s">
        <v>1744</v>
      </c>
      <c r="H510" t="s">
        <v>196</v>
      </c>
      <c r="I510">
        <v>6</v>
      </c>
      <c r="J510" t="s">
        <v>1745</v>
      </c>
      <c r="K510" t="s">
        <v>1723</v>
      </c>
    </row>
    <row r="511" spans="1:11" x14ac:dyDescent="0.35">
      <c r="A511" t="s">
        <v>1723</v>
      </c>
      <c r="B511" t="s">
        <v>1724</v>
      </c>
      <c r="C511" t="s">
        <v>235</v>
      </c>
      <c r="D511" t="s">
        <v>240</v>
      </c>
      <c r="E511" t="s">
        <v>241</v>
      </c>
      <c r="F511">
        <v>20.02</v>
      </c>
      <c r="G511" t="s">
        <v>1746</v>
      </c>
      <c r="H511" t="s">
        <v>43</v>
      </c>
      <c r="I511">
        <v>5</v>
      </c>
      <c r="K511" t="s">
        <v>1723</v>
      </c>
    </row>
    <row r="512" spans="1:11" x14ac:dyDescent="0.35">
      <c r="A512" t="s">
        <v>1747</v>
      </c>
      <c r="B512" t="s">
        <v>1748</v>
      </c>
      <c r="C512" t="s">
        <v>1674</v>
      </c>
      <c r="D512" t="s">
        <v>1749</v>
      </c>
      <c r="E512" t="s">
        <v>1750</v>
      </c>
      <c r="F512">
        <v>23.96</v>
      </c>
      <c r="G512" t="s">
        <v>1751</v>
      </c>
      <c r="H512" t="s">
        <v>43</v>
      </c>
      <c r="I512">
        <v>711</v>
      </c>
      <c r="J512" t="s">
        <v>1752</v>
      </c>
      <c r="K512" t="s">
        <v>1748</v>
      </c>
    </row>
    <row r="513" spans="1:11" x14ac:dyDescent="0.35">
      <c r="A513" t="s">
        <v>1747</v>
      </c>
      <c r="B513" t="s">
        <v>1748</v>
      </c>
      <c r="C513" t="s">
        <v>1674</v>
      </c>
      <c r="D513" t="s">
        <v>1675</v>
      </c>
      <c r="E513" t="s">
        <v>1676</v>
      </c>
      <c r="F513">
        <v>19.46</v>
      </c>
      <c r="G513" t="s">
        <v>1753</v>
      </c>
      <c r="H513" t="s">
        <v>43</v>
      </c>
      <c r="I513">
        <v>10</v>
      </c>
      <c r="J513" t="s">
        <v>1754</v>
      </c>
      <c r="K513" t="s">
        <v>1748</v>
      </c>
    </row>
    <row r="514" spans="1:11" x14ac:dyDescent="0.35">
      <c r="A514" t="s">
        <v>1747</v>
      </c>
      <c r="B514" t="s">
        <v>1748</v>
      </c>
      <c r="C514" t="s">
        <v>1674</v>
      </c>
      <c r="D514" t="s">
        <v>1679</v>
      </c>
      <c r="E514" t="s">
        <v>1680</v>
      </c>
      <c r="F514">
        <v>19.62</v>
      </c>
      <c r="G514" t="s">
        <v>1755</v>
      </c>
      <c r="H514" t="s">
        <v>43</v>
      </c>
      <c r="I514">
        <v>8</v>
      </c>
      <c r="J514" t="s">
        <v>1756</v>
      </c>
      <c r="K514" t="s">
        <v>1748</v>
      </c>
    </row>
    <row r="515" spans="1:11" x14ac:dyDescent="0.35">
      <c r="A515" t="s">
        <v>1747</v>
      </c>
      <c r="B515" t="s">
        <v>1748</v>
      </c>
      <c r="C515" t="s">
        <v>1674</v>
      </c>
      <c r="D515" t="s">
        <v>1757</v>
      </c>
      <c r="E515" t="s">
        <v>1758</v>
      </c>
      <c r="F515">
        <v>22.47</v>
      </c>
      <c r="G515" t="s">
        <v>1759</v>
      </c>
      <c r="H515" t="s">
        <v>43</v>
      </c>
      <c r="I515">
        <v>6</v>
      </c>
      <c r="J515" t="s">
        <v>1760</v>
      </c>
      <c r="K515" t="s">
        <v>1748</v>
      </c>
    </row>
    <row r="516" spans="1:11" x14ac:dyDescent="0.35">
      <c r="A516" t="s">
        <v>1747</v>
      </c>
      <c r="B516" t="s">
        <v>1748</v>
      </c>
      <c r="C516" t="s">
        <v>1674</v>
      </c>
      <c r="D516" t="s">
        <v>1761</v>
      </c>
      <c r="E516" t="s">
        <v>1762</v>
      </c>
      <c r="F516">
        <v>24.68</v>
      </c>
      <c r="G516" t="s">
        <v>1763</v>
      </c>
      <c r="H516" t="s">
        <v>43</v>
      </c>
      <c r="I516">
        <v>3</v>
      </c>
      <c r="K516" t="s">
        <v>1748</v>
      </c>
    </row>
    <row r="517" spans="1:11" x14ac:dyDescent="0.35">
      <c r="A517" t="s">
        <v>1747</v>
      </c>
      <c r="B517" t="s">
        <v>1748</v>
      </c>
      <c r="C517" t="s">
        <v>1674</v>
      </c>
      <c r="D517" t="s">
        <v>1764</v>
      </c>
      <c r="E517" t="s">
        <v>1765</v>
      </c>
      <c r="F517">
        <v>17.86</v>
      </c>
      <c r="G517" t="s">
        <v>317</v>
      </c>
      <c r="H517" t="s">
        <v>43</v>
      </c>
      <c r="I517">
        <v>1</v>
      </c>
      <c r="K517" t="s">
        <v>1748</v>
      </c>
    </row>
    <row r="518" spans="1:11" x14ac:dyDescent="0.35">
      <c r="A518" t="s">
        <v>1747</v>
      </c>
      <c r="B518" t="s">
        <v>1748</v>
      </c>
      <c r="C518" t="s">
        <v>1674</v>
      </c>
      <c r="D518" t="s">
        <v>1766</v>
      </c>
      <c r="E518" t="s">
        <v>1767</v>
      </c>
      <c r="F518">
        <v>19.5</v>
      </c>
      <c r="G518" t="s">
        <v>1768</v>
      </c>
      <c r="H518" t="s">
        <v>43</v>
      </c>
      <c r="I518">
        <v>1</v>
      </c>
      <c r="K518" t="s">
        <v>1748</v>
      </c>
    </row>
    <row r="519" spans="1:11" x14ac:dyDescent="0.35">
      <c r="A519" t="s">
        <v>1747</v>
      </c>
      <c r="B519" t="s">
        <v>1748</v>
      </c>
      <c r="C519" t="s">
        <v>1769</v>
      </c>
      <c r="D519" t="s">
        <v>89</v>
      </c>
      <c r="E519" t="s">
        <v>90</v>
      </c>
      <c r="F519">
        <v>17.399999999999999</v>
      </c>
      <c r="G519" t="s">
        <v>1770</v>
      </c>
      <c r="H519" t="s">
        <v>43</v>
      </c>
      <c r="I519">
        <v>89</v>
      </c>
      <c r="J519" t="s">
        <v>1771</v>
      </c>
      <c r="K519" t="s">
        <v>1748</v>
      </c>
    </row>
    <row r="520" spans="1:11" x14ac:dyDescent="0.35">
      <c r="A520" t="s">
        <v>1747</v>
      </c>
      <c r="B520" t="s">
        <v>1748</v>
      </c>
      <c r="C520" t="s">
        <v>1769</v>
      </c>
      <c r="D520" t="s">
        <v>1772</v>
      </c>
      <c r="E520" t="s">
        <v>1773</v>
      </c>
      <c r="F520">
        <v>17.22</v>
      </c>
      <c r="G520" t="s">
        <v>1774</v>
      </c>
      <c r="H520" t="s">
        <v>43</v>
      </c>
      <c r="I520">
        <v>130</v>
      </c>
      <c r="J520" t="s">
        <v>1775</v>
      </c>
      <c r="K520" t="s">
        <v>1748</v>
      </c>
    </row>
    <row r="521" spans="1:11" x14ac:dyDescent="0.35">
      <c r="A521" t="s">
        <v>1747</v>
      </c>
      <c r="B521" t="s">
        <v>1748</v>
      </c>
      <c r="C521" t="s">
        <v>1769</v>
      </c>
      <c r="D521" t="s">
        <v>85</v>
      </c>
      <c r="E521" t="s">
        <v>86</v>
      </c>
      <c r="F521">
        <v>17.559999999999999</v>
      </c>
      <c r="G521" t="s">
        <v>1776</v>
      </c>
      <c r="H521" t="s">
        <v>43</v>
      </c>
      <c r="I521">
        <v>21</v>
      </c>
      <c r="J521" t="s">
        <v>1777</v>
      </c>
      <c r="K521" t="s">
        <v>1748</v>
      </c>
    </row>
    <row r="522" spans="1:11" x14ac:dyDescent="0.35">
      <c r="A522" t="s">
        <v>1778</v>
      </c>
      <c r="B522" t="s">
        <v>1778</v>
      </c>
      <c r="C522" t="s">
        <v>235</v>
      </c>
      <c r="D522" t="s">
        <v>1779</v>
      </c>
      <c r="E522" t="s">
        <v>1780</v>
      </c>
      <c r="F522">
        <v>19.670000000000002</v>
      </c>
      <c r="G522" t="s">
        <v>1781</v>
      </c>
      <c r="H522" t="s">
        <v>43</v>
      </c>
      <c r="I522">
        <v>42</v>
      </c>
      <c r="J522" t="s">
        <v>1782</v>
      </c>
      <c r="K522" t="s">
        <v>1778</v>
      </c>
    </row>
    <row r="523" spans="1:11" x14ac:dyDescent="0.35">
      <c r="A523" t="s">
        <v>1778</v>
      </c>
      <c r="B523" t="s">
        <v>1778</v>
      </c>
      <c r="C523" t="s">
        <v>235</v>
      </c>
      <c r="D523" t="s">
        <v>236</v>
      </c>
      <c r="E523" t="s">
        <v>237</v>
      </c>
      <c r="F523">
        <v>63909</v>
      </c>
      <c r="G523" t="s">
        <v>1783</v>
      </c>
      <c r="H523" t="s">
        <v>196</v>
      </c>
      <c r="I523">
        <v>38</v>
      </c>
      <c r="J523" t="s">
        <v>1784</v>
      </c>
      <c r="K523" t="s">
        <v>1778</v>
      </c>
    </row>
    <row r="524" spans="1:11" x14ac:dyDescent="0.35">
      <c r="A524" t="s">
        <v>1778</v>
      </c>
      <c r="B524" t="s">
        <v>1778</v>
      </c>
      <c r="C524" t="s">
        <v>235</v>
      </c>
      <c r="D524" t="s">
        <v>969</v>
      </c>
      <c r="E524" t="s">
        <v>970</v>
      </c>
      <c r="F524">
        <v>18.62</v>
      </c>
      <c r="G524" t="s">
        <v>1785</v>
      </c>
      <c r="H524" t="s">
        <v>43</v>
      </c>
      <c r="I524">
        <v>8</v>
      </c>
      <c r="J524" t="s">
        <v>1786</v>
      </c>
      <c r="K524" t="s">
        <v>1778</v>
      </c>
    </row>
    <row r="525" spans="1:11" x14ac:dyDescent="0.35">
      <c r="A525" t="s">
        <v>1778</v>
      </c>
      <c r="B525" t="s">
        <v>1778</v>
      </c>
      <c r="C525" t="s">
        <v>235</v>
      </c>
      <c r="D525" t="s">
        <v>240</v>
      </c>
      <c r="E525" t="s">
        <v>241</v>
      </c>
      <c r="F525">
        <v>22.18</v>
      </c>
      <c r="G525" t="s">
        <v>1410</v>
      </c>
      <c r="H525" t="s">
        <v>43</v>
      </c>
      <c r="I525">
        <v>8</v>
      </c>
      <c r="J525" t="s">
        <v>1787</v>
      </c>
      <c r="K525" t="s">
        <v>1778</v>
      </c>
    </row>
    <row r="526" spans="1:11" x14ac:dyDescent="0.35">
      <c r="A526" t="s">
        <v>1778</v>
      </c>
      <c r="B526" t="s">
        <v>1778</v>
      </c>
      <c r="C526" t="s">
        <v>235</v>
      </c>
      <c r="D526" t="s">
        <v>244</v>
      </c>
      <c r="E526" t="s">
        <v>245</v>
      </c>
      <c r="F526">
        <v>86020</v>
      </c>
      <c r="G526" t="s">
        <v>1788</v>
      </c>
      <c r="H526" t="s">
        <v>196</v>
      </c>
      <c r="I526">
        <v>26</v>
      </c>
      <c r="J526" t="s">
        <v>1789</v>
      </c>
      <c r="K526" t="s">
        <v>1778</v>
      </c>
    </row>
    <row r="527" spans="1:11" x14ac:dyDescent="0.35">
      <c r="A527" t="s">
        <v>1778</v>
      </c>
      <c r="B527" t="s">
        <v>1778</v>
      </c>
      <c r="C527" t="s">
        <v>235</v>
      </c>
      <c r="D527" t="s">
        <v>252</v>
      </c>
      <c r="E527" t="s">
        <v>253</v>
      </c>
      <c r="F527">
        <v>141629</v>
      </c>
      <c r="G527" t="s">
        <v>1790</v>
      </c>
      <c r="H527" t="s">
        <v>196</v>
      </c>
      <c r="I527">
        <v>6</v>
      </c>
      <c r="J527" t="s">
        <v>1791</v>
      </c>
      <c r="K527" t="s">
        <v>1778</v>
      </c>
    </row>
    <row r="528" spans="1:11" x14ac:dyDescent="0.35">
      <c r="A528" t="s">
        <v>1778</v>
      </c>
      <c r="B528" t="s">
        <v>1778</v>
      </c>
      <c r="C528" t="s">
        <v>235</v>
      </c>
      <c r="D528" t="s">
        <v>866</v>
      </c>
      <c r="E528" t="s">
        <v>867</v>
      </c>
      <c r="F528">
        <v>20.100000000000001</v>
      </c>
      <c r="G528" t="s">
        <v>1792</v>
      </c>
      <c r="H528" t="s">
        <v>43</v>
      </c>
      <c r="I528">
        <v>8</v>
      </c>
      <c r="J528" t="s">
        <v>1793</v>
      </c>
      <c r="K528" t="s">
        <v>1778</v>
      </c>
    </row>
    <row r="529" spans="1:11" x14ac:dyDescent="0.35">
      <c r="A529" t="s">
        <v>1778</v>
      </c>
      <c r="B529" t="s">
        <v>1778</v>
      </c>
      <c r="C529" t="s">
        <v>235</v>
      </c>
      <c r="D529" t="s">
        <v>1794</v>
      </c>
      <c r="E529" t="s">
        <v>1795</v>
      </c>
      <c r="F529">
        <v>24.65</v>
      </c>
      <c r="G529" t="s">
        <v>1796</v>
      </c>
      <c r="H529" t="s">
        <v>43</v>
      </c>
      <c r="I529">
        <v>12</v>
      </c>
      <c r="J529" t="s">
        <v>1797</v>
      </c>
      <c r="K529" t="s">
        <v>1778</v>
      </c>
    </row>
    <row r="530" spans="1:11" x14ac:dyDescent="0.35">
      <c r="A530" t="s">
        <v>1778</v>
      </c>
      <c r="B530" t="s">
        <v>1778</v>
      </c>
      <c r="C530" t="s">
        <v>235</v>
      </c>
      <c r="D530" t="s">
        <v>1798</v>
      </c>
      <c r="E530" t="s">
        <v>1799</v>
      </c>
      <c r="F530">
        <v>17.96</v>
      </c>
      <c r="G530" t="s">
        <v>213</v>
      </c>
      <c r="H530" t="s">
        <v>43</v>
      </c>
      <c r="I530">
        <v>6</v>
      </c>
      <c r="J530" t="s">
        <v>1800</v>
      </c>
      <c r="K530" t="s">
        <v>1778</v>
      </c>
    </row>
    <row r="531" spans="1:11" x14ac:dyDescent="0.35">
      <c r="A531" t="s">
        <v>1778</v>
      </c>
      <c r="B531" t="s">
        <v>1778</v>
      </c>
      <c r="C531" t="s">
        <v>235</v>
      </c>
      <c r="D531" t="s">
        <v>1801</v>
      </c>
      <c r="E531" t="s">
        <v>1802</v>
      </c>
      <c r="F531">
        <v>22.21</v>
      </c>
      <c r="G531" t="s">
        <v>1803</v>
      </c>
      <c r="H531" t="s">
        <v>43</v>
      </c>
      <c r="I531">
        <v>5</v>
      </c>
      <c r="K531" t="s">
        <v>1778</v>
      </c>
    </row>
    <row r="532" spans="1:11" x14ac:dyDescent="0.35">
      <c r="A532" t="s">
        <v>1804</v>
      </c>
      <c r="B532" t="s">
        <v>1804</v>
      </c>
      <c r="C532" t="s">
        <v>378</v>
      </c>
      <c r="D532" t="s">
        <v>1805</v>
      </c>
      <c r="E532" t="s">
        <v>1806</v>
      </c>
      <c r="F532">
        <v>24.35</v>
      </c>
      <c r="G532" t="s">
        <v>1807</v>
      </c>
      <c r="H532" t="s">
        <v>43</v>
      </c>
      <c r="I532">
        <v>2634</v>
      </c>
      <c r="J532" t="s">
        <v>1808</v>
      </c>
      <c r="K532" t="s">
        <v>1804</v>
      </c>
    </row>
    <row r="533" spans="1:11" x14ac:dyDescent="0.35">
      <c r="A533" t="s">
        <v>1804</v>
      </c>
      <c r="B533" t="s">
        <v>1804</v>
      </c>
      <c r="C533" t="s">
        <v>378</v>
      </c>
      <c r="D533" t="s">
        <v>391</v>
      </c>
      <c r="E533" t="s">
        <v>392</v>
      </c>
      <c r="F533">
        <v>16.39</v>
      </c>
      <c r="G533" t="s">
        <v>1809</v>
      </c>
      <c r="H533" t="s">
        <v>43</v>
      </c>
      <c r="I533">
        <v>34</v>
      </c>
      <c r="J533" t="s">
        <v>1810</v>
      </c>
      <c r="K533" t="s">
        <v>1804</v>
      </c>
    </row>
    <row r="534" spans="1:11" x14ac:dyDescent="0.35">
      <c r="A534" t="s">
        <v>1804</v>
      </c>
      <c r="B534" t="s">
        <v>1804</v>
      </c>
      <c r="C534" t="s">
        <v>378</v>
      </c>
      <c r="D534" t="s">
        <v>1811</v>
      </c>
      <c r="E534" t="s">
        <v>1812</v>
      </c>
      <c r="F534">
        <v>20.65</v>
      </c>
      <c r="G534" t="s">
        <v>1813</v>
      </c>
      <c r="H534" t="s">
        <v>43</v>
      </c>
      <c r="I534">
        <v>429</v>
      </c>
      <c r="J534" t="s">
        <v>1814</v>
      </c>
      <c r="K534" t="s">
        <v>1804</v>
      </c>
    </row>
    <row r="535" spans="1:11" x14ac:dyDescent="0.35">
      <c r="A535" t="s">
        <v>1804</v>
      </c>
      <c r="B535" t="s">
        <v>1804</v>
      </c>
      <c r="C535" t="s">
        <v>378</v>
      </c>
      <c r="D535" t="s">
        <v>409</v>
      </c>
      <c r="E535" t="s">
        <v>410</v>
      </c>
      <c r="F535">
        <v>22.19</v>
      </c>
      <c r="G535" t="s">
        <v>1815</v>
      </c>
      <c r="H535" t="s">
        <v>43</v>
      </c>
      <c r="I535">
        <v>260</v>
      </c>
      <c r="J535" t="s">
        <v>1816</v>
      </c>
      <c r="K535" t="s">
        <v>1804</v>
      </c>
    </row>
    <row r="536" spans="1:11" x14ac:dyDescent="0.35">
      <c r="A536" t="s">
        <v>1804</v>
      </c>
      <c r="B536" t="s">
        <v>1804</v>
      </c>
      <c r="C536" t="s">
        <v>378</v>
      </c>
      <c r="D536" t="s">
        <v>1817</v>
      </c>
      <c r="E536" t="s">
        <v>1818</v>
      </c>
      <c r="F536">
        <v>17.59</v>
      </c>
      <c r="G536" t="s">
        <v>1819</v>
      </c>
      <c r="H536" t="s">
        <v>43</v>
      </c>
      <c r="I536">
        <v>113</v>
      </c>
      <c r="J536" t="s">
        <v>1820</v>
      </c>
      <c r="K536" t="s">
        <v>1804</v>
      </c>
    </row>
    <row r="537" spans="1:11" x14ac:dyDescent="0.35">
      <c r="A537" t="s">
        <v>1804</v>
      </c>
      <c r="B537" t="s">
        <v>1804</v>
      </c>
      <c r="C537" t="s">
        <v>378</v>
      </c>
      <c r="D537" t="s">
        <v>378</v>
      </c>
      <c r="E537" t="s">
        <v>394</v>
      </c>
      <c r="F537">
        <v>16.79</v>
      </c>
      <c r="G537" t="s">
        <v>1821</v>
      </c>
      <c r="H537" t="s">
        <v>43</v>
      </c>
      <c r="I537">
        <v>35</v>
      </c>
      <c r="J537" t="s">
        <v>1822</v>
      </c>
      <c r="K537" t="s">
        <v>1804</v>
      </c>
    </row>
    <row r="538" spans="1:11" x14ac:dyDescent="0.35">
      <c r="A538" t="s">
        <v>1804</v>
      </c>
      <c r="B538" t="s">
        <v>1804</v>
      </c>
      <c r="C538" t="s">
        <v>378</v>
      </c>
      <c r="D538" t="s">
        <v>1823</v>
      </c>
      <c r="E538" t="s">
        <v>1824</v>
      </c>
      <c r="F538">
        <v>23.8</v>
      </c>
      <c r="G538" t="s">
        <v>1825</v>
      </c>
      <c r="H538" t="s">
        <v>43</v>
      </c>
      <c r="I538">
        <v>55</v>
      </c>
      <c r="J538" t="s">
        <v>1826</v>
      </c>
      <c r="K538" t="s">
        <v>1804</v>
      </c>
    </row>
    <row r="539" spans="1:11" x14ac:dyDescent="0.35">
      <c r="A539" t="s">
        <v>1804</v>
      </c>
      <c r="B539" t="s">
        <v>1804</v>
      </c>
      <c r="C539" t="s">
        <v>378</v>
      </c>
      <c r="D539" t="s">
        <v>1827</v>
      </c>
      <c r="E539" t="s">
        <v>1828</v>
      </c>
      <c r="F539">
        <v>14.58</v>
      </c>
      <c r="G539" t="s">
        <v>1829</v>
      </c>
      <c r="H539" t="s">
        <v>43</v>
      </c>
      <c r="I539">
        <v>12</v>
      </c>
      <c r="J539" t="s">
        <v>1830</v>
      </c>
      <c r="K539" t="s">
        <v>1804</v>
      </c>
    </row>
    <row r="540" spans="1:11" x14ac:dyDescent="0.35">
      <c r="A540" t="s">
        <v>1804</v>
      </c>
      <c r="B540" t="s">
        <v>1804</v>
      </c>
      <c r="C540" t="s">
        <v>378</v>
      </c>
      <c r="D540" t="s">
        <v>401</v>
      </c>
      <c r="E540" t="s">
        <v>402</v>
      </c>
      <c r="F540">
        <v>16.73</v>
      </c>
      <c r="G540" t="s">
        <v>1831</v>
      </c>
      <c r="H540" t="s">
        <v>43</v>
      </c>
      <c r="I540">
        <v>6</v>
      </c>
      <c r="J540" t="s">
        <v>1832</v>
      </c>
      <c r="K540" t="s">
        <v>1804</v>
      </c>
    </row>
    <row r="541" spans="1:11" x14ac:dyDescent="0.35">
      <c r="A541" t="s">
        <v>1804</v>
      </c>
      <c r="B541" t="s">
        <v>1804</v>
      </c>
      <c r="C541" t="s">
        <v>378</v>
      </c>
      <c r="D541" t="s">
        <v>1833</v>
      </c>
      <c r="E541" t="s">
        <v>1834</v>
      </c>
      <c r="F541">
        <v>17.22</v>
      </c>
      <c r="G541" t="s">
        <v>1774</v>
      </c>
      <c r="H541" t="s">
        <v>43</v>
      </c>
      <c r="I541">
        <v>8</v>
      </c>
      <c r="J541" t="s">
        <v>1835</v>
      </c>
      <c r="K541" t="s">
        <v>1804</v>
      </c>
    </row>
    <row r="542" spans="1:11" x14ac:dyDescent="0.35">
      <c r="A542" t="s">
        <v>1836</v>
      </c>
      <c r="B542" t="s">
        <v>1836</v>
      </c>
      <c r="C542" t="s">
        <v>235</v>
      </c>
      <c r="D542" t="s">
        <v>1837</v>
      </c>
      <c r="E542" t="s">
        <v>1838</v>
      </c>
      <c r="F542">
        <v>72811</v>
      </c>
      <c r="G542" t="s">
        <v>1839</v>
      </c>
      <c r="H542" t="s">
        <v>196</v>
      </c>
      <c r="I542">
        <v>2</v>
      </c>
      <c r="K542" t="s">
        <v>1836</v>
      </c>
    </row>
    <row r="543" spans="1:11" x14ac:dyDescent="0.35">
      <c r="A543" t="s">
        <v>1836</v>
      </c>
      <c r="B543" t="s">
        <v>1836</v>
      </c>
      <c r="C543" t="s">
        <v>235</v>
      </c>
      <c r="D543" t="s">
        <v>1840</v>
      </c>
      <c r="E543" t="s">
        <v>1841</v>
      </c>
      <c r="F543">
        <v>71928</v>
      </c>
      <c r="G543" t="s">
        <v>1842</v>
      </c>
      <c r="H543" t="s">
        <v>196</v>
      </c>
      <c r="I543">
        <v>8</v>
      </c>
      <c r="J543" t="s">
        <v>1843</v>
      </c>
      <c r="K543" t="s">
        <v>1836</v>
      </c>
    </row>
    <row r="544" spans="1:11" x14ac:dyDescent="0.35">
      <c r="A544" t="s">
        <v>1836</v>
      </c>
      <c r="B544" t="s">
        <v>1836</v>
      </c>
      <c r="C544" t="s">
        <v>235</v>
      </c>
      <c r="D544" t="s">
        <v>236</v>
      </c>
      <c r="E544" t="s">
        <v>237</v>
      </c>
      <c r="F544">
        <v>103066</v>
      </c>
      <c r="G544" t="s">
        <v>1844</v>
      </c>
      <c r="H544" t="s">
        <v>196</v>
      </c>
      <c r="I544">
        <v>6</v>
      </c>
      <c r="J544" t="s">
        <v>1845</v>
      </c>
      <c r="K544" t="s">
        <v>1836</v>
      </c>
    </row>
    <row r="545" spans="1:11" x14ac:dyDescent="0.35">
      <c r="A545" t="s">
        <v>1836</v>
      </c>
      <c r="B545" t="s">
        <v>1836</v>
      </c>
      <c r="C545" t="s">
        <v>235</v>
      </c>
      <c r="D545" t="s">
        <v>248</v>
      </c>
      <c r="E545" t="s">
        <v>249</v>
      </c>
      <c r="F545">
        <v>129873</v>
      </c>
      <c r="G545" t="s">
        <v>1846</v>
      </c>
      <c r="H545" t="s">
        <v>196</v>
      </c>
      <c r="I545">
        <v>8</v>
      </c>
      <c r="J545" t="s">
        <v>1847</v>
      </c>
      <c r="K545" t="s">
        <v>1836</v>
      </c>
    </row>
    <row r="546" spans="1:11" x14ac:dyDescent="0.35">
      <c r="A546" t="s">
        <v>1836</v>
      </c>
      <c r="B546" t="s">
        <v>1836</v>
      </c>
      <c r="C546" t="s">
        <v>235</v>
      </c>
      <c r="D546" t="s">
        <v>259</v>
      </c>
      <c r="E546" t="s">
        <v>260</v>
      </c>
      <c r="F546">
        <v>20.41</v>
      </c>
      <c r="G546" t="s">
        <v>1848</v>
      </c>
      <c r="H546" t="s">
        <v>43</v>
      </c>
      <c r="I546">
        <v>7</v>
      </c>
      <c r="J546" t="s">
        <v>1849</v>
      </c>
      <c r="K546" t="s">
        <v>1836</v>
      </c>
    </row>
    <row r="547" spans="1:11" x14ac:dyDescent="0.35">
      <c r="A547" t="s">
        <v>1836</v>
      </c>
      <c r="B547" t="s">
        <v>1836</v>
      </c>
      <c r="C547" t="s">
        <v>235</v>
      </c>
      <c r="D547" t="s">
        <v>1850</v>
      </c>
      <c r="E547" t="s">
        <v>1851</v>
      </c>
      <c r="F547">
        <v>55373</v>
      </c>
      <c r="G547" t="s">
        <v>1852</v>
      </c>
      <c r="H547" t="s">
        <v>196</v>
      </c>
      <c r="I547">
        <v>5</v>
      </c>
      <c r="K547" t="s">
        <v>1836</v>
      </c>
    </row>
    <row r="548" spans="1:11" x14ac:dyDescent="0.35">
      <c r="A548" t="s">
        <v>1836</v>
      </c>
      <c r="B548" t="s">
        <v>1836</v>
      </c>
      <c r="C548" t="s">
        <v>235</v>
      </c>
      <c r="D548" t="s">
        <v>866</v>
      </c>
      <c r="E548" t="s">
        <v>867</v>
      </c>
      <c r="F548">
        <v>82605</v>
      </c>
      <c r="G548" t="s">
        <v>1853</v>
      </c>
      <c r="H548" t="s">
        <v>196</v>
      </c>
      <c r="I548">
        <v>4</v>
      </c>
      <c r="K548" t="s">
        <v>1836</v>
      </c>
    </row>
    <row r="549" spans="1:11" x14ac:dyDescent="0.35">
      <c r="A549" t="s">
        <v>1836</v>
      </c>
      <c r="B549" t="s">
        <v>1836</v>
      </c>
      <c r="C549" t="s">
        <v>235</v>
      </c>
      <c r="D549" t="s">
        <v>1854</v>
      </c>
      <c r="E549" t="s">
        <v>1855</v>
      </c>
      <c r="F549">
        <v>60445</v>
      </c>
      <c r="G549" t="s">
        <v>1856</v>
      </c>
      <c r="H549" t="s">
        <v>196</v>
      </c>
      <c r="I549">
        <v>3</v>
      </c>
      <c r="K549" t="s">
        <v>1836</v>
      </c>
    </row>
    <row r="550" spans="1:11" x14ac:dyDescent="0.35">
      <c r="A550" t="s">
        <v>1836</v>
      </c>
      <c r="B550" t="s">
        <v>1836</v>
      </c>
      <c r="C550" t="s">
        <v>235</v>
      </c>
      <c r="D550" t="s">
        <v>1857</v>
      </c>
      <c r="E550" t="s">
        <v>1858</v>
      </c>
      <c r="F550">
        <v>49000</v>
      </c>
      <c r="G550" t="s">
        <v>1859</v>
      </c>
      <c r="H550" t="s">
        <v>196</v>
      </c>
      <c r="I550">
        <v>2</v>
      </c>
      <c r="K550" t="s">
        <v>1836</v>
      </c>
    </row>
    <row r="551" spans="1:11" x14ac:dyDescent="0.35">
      <c r="A551" t="s">
        <v>1836</v>
      </c>
      <c r="B551" t="s">
        <v>1836</v>
      </c>
      <c r="C551" t="s">
        <v>235</v>
      </c>
      <c r="D551" t="s">
        <v>244</v>
      </c>
      <c r="E551" t="s">
        <v>245</v>
      </c>
      <c r="F551">
        <v>86621</v>
      </c>
      <c r="G551" t="s">
        <v>1860</v>
      </c>
      <c r="H551" t="s">
        <v>196</v>
      </c>
      <c r="I551">
        <v>1</v>
      </c>
      <c r="K551" t="s">
        <v>1836</v>
      </c>
    </row>
    <row r="552" spans="1:11" x14ac:dyDescent="0.35">
      <c r="A552" t="s">
        <v>1861</v>
      </c>
      <c r="B552" t="s">
        <v>1862</v>
      </c>
      <c r="C552" t="s">
        <v>235</v>
      </c>
      <c r="D552" t="s">
        <v>255</v>
      </c>
      <c r="E552" t="s">
        <v>256</v>
      </c>
      <c r="F552">
        <v>14.3</v>
      </c>
      <c r="G552" t="s">
        <v>1601</v>
      </c>
      <c r="H552" t="s">
        <v>43</v>
      </c>
      <c r="I552">
        <v>6</v>
      </c>
      <c r="J552" t="s">
        <v>1863</v>
      </c>
      <c r="K552" t="s">
        <v>1861</v>
      </c>
    </row>
    <row r="553" spans="1:11" x14ac:dyDescent="0.35">
      <c r="A553" t="s">
        <v>1861</v>
      </c>
      <c r="B553" t="s">
        <v>1862</v>
      </c>
      <c r="C553" t="s">
        <v>235</v>
      </c>
      <c r="D553" t="s">
        <v>1864</v>
      </c>
      <c r="E553" t="s">
        <v>1865</v>
      </c>
      <c r="F553">
        <v>59802</v>
      </c>
      <c r="G553" t="s">
        <v>1866</v>
      </c>
      <c r="H553" t="s">
        <v>196</v>
      </c>
      <c r="I553">
        <v>6</v>
      </c>
      <c r="J553" t="s">
        <v>1867</v>
      </c>
      <c r="K553" t="s">
        <v>1861</v>
      </c>
    </row>
    <row r="554" spans="1:11" x14ac:dyDescent="0.35">
      <c r="A554" t="s">
        <v>1861</v>
      </c>
      <c r="B554" t="s">
        <v>1862</v>
      </c>
      <c r="C554" t="s">
        <v>235</v>
      </c>
      <c r="D554" t="s">
        <v>1868</v>
      </c>
      <c r="E554" t="s">
        <v>1869</v>
      </c>
      <c r="F554">
        <v>90542</v>
      </c>
      <c r="G554" t="s">
        <v>1870</v>
      </c>
      <c r="H554" t="s">
        <v>196</v>
      </c>
      <c r="I554">
        <v>4</v>
      </c>
      <c r="K554" t="s">
        <v>1861</v>
      </c>
    </row>
    <row r="555" spans="1:11" x14ac:dyDescent="0.35">
      <c r="A555" t="s">
        <v>1861</v>
      </c>
      <c r="B555" t="s">
        <v>1862</v>
      </c>
      <c r="C555" t="s">
        <v>235</v>
      </c>
      <c r="D555" t="s">
        <v>1871</v>
      </c>
      <c r="E555" t="s">
        <v>1872</v>
      </c>
      <c r="F555">
        <v>15.25</v>
      </c>
      <c r="G555" t="s">
        <v>1873</v>
      </c>
      <c r="H555" t="s">
        <v>43</v>
      </c>
      <c r="I555">
        <v>3</v>
      </c>
      <c r="K555" t="s">
        <v>1861</v>
      </c>
    </row>
    <row r="556" spans="1:11" x14ac:dyDescent="0.35">
      <c r="A556" t="s">
        <v>1861</v>
      </c>
      <c r="B556" t="s">
        <v>1862</v>
      </c>
      <c r="C556" t="s">
        <v>235</v>
      </c>
      <c r="D556" t="s">
        <v>252</v>
      </c>
      <c r="E556" t="s">
        <v>253</v>
      </c>
      <c r="F556">
        <v>158211</v>
      </c>
      <c r="G556" t="s">
        <v>1874</v>
      </c>
      <c r="H556" t="s">
        <v>196</v>
      </c>
      <c r="I556">
        <v>3</v>
      </c>
      <c r="K556" t="s">
        <v>1861</v>
      </c>
    </row>
    <row r="557" spans="1:11" x14ac:dyDescent="0.35">
      <c r="A557" t="s">
        <v>1861</v>
      </c>
      <c r="B557" t="s">
        <v>1862</v>
      </c>
      <c r="C557" t="s">
        <v>235</v>
      </c>
      <c r="D557" t="s">
        <v>236</v>
      </c>
      <c r="E557" t="s">
        <v>237</v>
      </c>
      <c r="F557">
        <v>9</v>
      </c>
      <c r="G557" t="s">
        <v>1875</v>
      </c>
      <c r="H557" t="s">
        <v>43</v>
      </c>
      <c r="I557">
        <v>1</v>
      </c>
      <c r="K557" t="s">
        <v>1861</v>
      </c>
    </row>
    <row r="558" spans="1:11" x14ac:dyDescent="0.35">
      <c r="A558" t="s">
        <v>1861</v>
      </c>
      <c r="B558" t="s">
        <v>1862</v>
      </c>
      <c r="C558" t="s">
        <v>235</v>
      </c>
      <c r="D558" t="s">
        <v>1876</v>
      </c>
      <c r="E558" t="s">
        <v>1877</v>
      </c>
      <c r="F558">
        <v>30.76</v>
      </c>
      <c r="G558" t="s">
        <v>1878</v>
      </c>
      <c r="H558" t="s">
        <v>43</v>
      </c>
      <c r="I558">
        <v>1</v>
      </c>
      <c r="K558" t="s">
        <v>1861</v>
      </c>
    </row>
    <row r="559" spans="1:11" x14ac:dyDescent="0.35">
      <c r="A559" t="s">
        <v>1861</v>
      </c>
      <c r="B559" t="s">
        <v>1862</v>
      </c>
      <c r="C559" t="s">
        <v>235</v>
      </c>
      <c r="D559" t="s">
        <v>1733</v>
      </c>
      <c r="E559" t="s">
        <v>1734</v>
      </c>
      <c r="F559">
        <v>13.49</v>
      </c>
      <c r="G559" t="s">
        <v>1879</v>
      </c>
      <c r="H559" t="s">
        <v>43</v>
      </c>
      <c r="I559">
        <v>1</v>
      </c>
      <c r="K559" t="s">
        <v>1861</v>
      </c>
    </row>
    <row r="560" spans="1:11" x14ac:dyDescent="0.35">
      <c r="A560" t="s">
        <v>1861</v>
      </c>
      <c r="B560" t="s">
        <v>1862</v>
      </c>
      <c r="C560" t="s">
        <v>235</v>
      </c>
      <c r="D560" t="s">
        <v>1880</v>
      </c>
      <c r="E560" t="s">
        <v>1881</v>
      </c>
      <c r="F560">
        <v>13.49</v>
      </c>
      <c r="G560" t="s">
        <v>1879</v>
      </c>
      <c r="H560" t="s">
        <v>43</v>
      </c>
      <c r="I560">
        <v>1</v>
      </c>
      <c r="K560" t="s">
        <v>1861</v>
      </c>
    </row>
    <row r="561" spans="1:11" x14ac:dyDescent="0.35">
      <c r="A561" t="s">
        <v>1861</v>
      </c>
      <c r="B561" t="s">
        <v>1862</v>
      </c>
      <c r="C561" t="s">
        <v>486</v>
      </c>
      <c r="D561" t="s">
        <v>1882</v>
      </c>
      <c r="E561" t="s">
        <v>1883</v>
      </c>
      <c r="F561">
        <v>67305</v>
      </c>
      <c r="G561" t="s">
        <v>1884</v>
      </c>
      <c r="H561" t="s">
        <v>196</v>
      </c>
      <c r="I561">
        <v>9</v>
      </c>
      <c r="J561" t="s">
        <v>1885</v>
      </c>
      <c r="K561" t="s">
        <v>1861</v>
      </c>
    </row>
    <row r="562" spans="1:11" x14ac:dyDescent="0.35">
      <c r="A562" t="s">
        <v>1886</v>
      </c>
      <c r="B562" t="s">
        <v>1886</v>
      </c>
      <c r="C562" t="s">
        <v>235</v>
      </c>
      <c r="D562" t="s">
        <v>255</v>
      </c>
      <c r="E562" t="s">
        <v>256</v>
      </c>
      <c r="F562">
        <v>17.440000000000001</v>
      </c>
      <c r="G562" t="s">
        <v>1887</v>
      </c>
      <c r="H562" t="s">
        <v>43</v>
      </c>
      <c r="I562">
        <v>113</v>
      </c>
      <c r="J562" t="s">
        <v>1888</v>
      </c>
      <c r="K562" t="s">
        <v>1886</v>
      </c>
    </row>
    <row r="563" spans="1:11" x14ac:dyDescent="0.35">
      <c r="A563" t="s">
        <v>1886</v>
      </c>
      <c r="B563" t="s">
        <v>1886</v>
      </c>
      <c r="C563" t="s">
        <v>235</v>
      </c>
      <c r="D563" t="s">
        <v>979</v>
      </c>
      <c r="E563" t="s">
        <v>980</v>
      </c>
      <c r="F563">
        <v>42.69</v>
      </c>
      <c r="G563" t="s">
        <v>1889</v>
      </c>
      <c r="H563" t="s">
        <v>43</v>
      </c>
      <c r="I563">
        <v>9</v>
      </c>
      <c r="J563" t="s">
        <v>1890</v>
      </c>
      <c r="K563" t="s">
        <v>1886</v>
      </c>
    </row>
    <row r="564" spans="1:11" x14ac:dyDescent="0.35">
      <c r="A564" t="s">
        <v>1886</v>
      </c>
      <c r="B564" t="s">
        <v>1886</v>
      </c>
      <c r="C564" t="s">
        <v>235</v>
      </c>
      <c r="D564" t="s">
        <v>1857</v>
      </c>
      <c r="E564" t="s">
        <v>1858</v>
      </c>
      <c r="F564">
        <v>18.34</v>
      </c>
      <c r="G564" t="s">
        <v>1891</v>
      </c>
      <c r="H564" t="s">
        <v>43</v>
      </c>
      <c r="I564">
        <v>6</v>
      </c>
      <c r="J564" t="s">
        <v>1892</v>
      </c>
      <c r="K564" t="s">
        <v>1886</v>
      </c>
    </row>
    <row r="565" spans="1:11" x14ac:dyDescent="0.35">
      <c r="A565" t="s">
        <v>1886</v>
      </c>
      <c r="B565" t="s">
        <v>1886</v>
      </c>
      <c r="C565" t="s">
        <v>235</v>
      </c>
      <c r="D565" t="s">
        <v>866</v>
      </c>
      <c r="E565" t="s">
        <v>867</v>
      </c>
      <c r="F565">
        <v>16.59</v>
      </c>
      <c r="G565" t="s">
        <v>1893</v>
      </c>
      <c r="H565" t="s">
        <v>43</v>
      </c>
      <c r="I565">
        <v>22</v>
      </c>
      <c r="J565" t="s">
        <v>1894</v>
      </c>
      <c r="K565" t="s">
        <v>1886</v>
      </c>
    </row>
    <row r="566" spans="1:11" x14ac:dyDescent="0.35">
      <c r="A566" t="s">
        <v>1886</v>
      </c>
      <c r="B566" t="s">
        <v>1886</v>
      </c>
      <c r="C566" t="s">
        <v>235</v>
      </c>
      <c r="D566" t="s">
        <v>1895</v>
      </c>
      <c r="E566" t="s">
        <v>1896</v>
      </c>
      <c r="F566">
        <v>95294</v>
      </c>
      <c r="G566" t="s">
        <v>1897</v>
      </c>
      <c r="H566" t="s">
        <v>196</v>
      </c>
      <c r="I566">
        <v>10</v>
      </c>
      <c r="J566" t="s">
        <v>1898</v>
      </c>
      <c r="K566" t="s">
        <v>1886</v>
      </c>
    </row>
    <row r="567" spans="1:11" x14ac:dyDescent="0.35">
      <c r="A567" t="s">
        <v>1886</v>
      </c>
      <c r="B567" t="s">
        <v>1886</v>
      </c>
      <c r="C567" t="s">
        <v>235</v>
      </c>
      <c r="D567" t="s">
        <v>1899</v>
      </c>
      <c r="E567" t="s">
        <v>1900</v>
      </c>
      <c r="F567">
        <v>33.35</v>
      </c>
      <c r="G567" t="s">
        <v>1901</v>
      </c>
      <c r="H567" t="s">
        <v>43</v>
      </c>
      <c r="I567">
        <v>2</v>
      </c>
      <c r="K567" t="s">
        <v>1886</v>
      </c>
    </row>
    <row r="568" spans="1:11" x14ac:dyDescent="0.35">
      <c r="A568" t="s">
        <v>1886</v>
      </c>
      <c r="B568" t="s">
        <v>1886</v>
      </c>
      <c r="C568" t="s">
        <v>235</v>
      </c>
      <c r="D568" t="s">
        <v>1902</v>
      </c>
      <c r="E568" t="s">
        <v>1903</v>
      </c>
      <c r="F568">
        <v>75395</v>
      </c>
      <c r="G568" t="s">
        <v>1904</v>
      </c>
      <c r="H568" t="s">
        <v>196</v>
      </c>
      <c r="I568">
        <v>11</v>
      </c>
      <c r="J568" t="s">
        <v>1905</v>
      </c>
      <c r="K568" t="s">
        <v>1886</v>
      </c>
    </row>
    <row r="569" spans="1:11" x14ac:dyDescent="0.35">
      <c r="A569" t="s">
        <v>1886</v>
      </c>
      <c r="B569" t="s">
        <v>1886</v>
      </c>
      <c r="C569" t="s">
        <v>235</v>
      </c>
      <c r="D569" t="s">
        <v>1906</v>
      </c>
      <c r="E569" t="s">
        <v>1907</v>
      </c>
      <c r="F569">
        <v>15</v>
      </c>
      <c r="G569" t="s">
        <v>1120</v>
      </c>
      <c r="H569" t="s">
        <v>43</v>
      </c>
      <c r="I569">
        <v>10</v>
      </c>
      <c r="J569" t="s">
        <v>1908</v>
      </c>
      <c r="K569" t="s">
        <v>1886</v>
      </c>
    </row>
    <row r="570" spans="1:11" x14ac:dyDescent="0.35">
      <c r="A570" t="s">
        <v>1886</v>
      </c>
      <c r="B570" t="s">
        <v>1886</v>
      </c>
      <c r="C570" t="s">
        <v>235</v>
      </c>
      <c r="D570" t="s">
        <v>1909</v>
      </c>
      <c r="E570" t="s">
        <v>1910</v>
      </c>
      <c r="F570">
        <v>116435</v>
      </c>
      <c r="G570" t="s">
        <v>1911</v>
      </c>
      <c r="H570" t="s">
        <v>196</v>
      </c>
      <c r="I570">
        <v>12</v>
      </c>
      <c r="J570" t="s">
        <v>1912</v>
      </c>
      <c r="K570" t="s">
        <v>1886</v>
      </c>
    </row>
    <row r="571" spans="1:11" x14ac:dyDescent="0.35">
      <c r="A571" t="s">
        <v>1886</v>
      </c>
      <c r="B571" t="s">
        <v>1886</v>
      </c>
      <c r="C571" t="s">
        <v>235</v>
      </c>
      <c r="D571" t="s">
        <v>236</v>
      </c>
      <c r="E571" t="s">
        <v>237</v>
      </c>
      <c r="F571">
        <v>16.79</v>
      </c>
      <c r="G571" t="s">
        <v>1821</v>
      </c>
      <c r="H571" t="s">
        <v>43</v>
      </c>
      <c r="I571">
        <v>1</v>
      </c>
      <c r="K571" t="s">
        <v>1886</v>
      </c>
    </row>
    <row r="572" spans="1:11" x14ac:dyDescent="0.35">
      <c r="A572" t="s">
        <v>1913</v>
      </c>
      <c r="B572" t="s">
        <v>1913</v>
      </c>
      <c r="C572" t="s">
        <v>198</v>
      </c>
      <c r="D572" t="s">
        <v>333</v>
      </c>
      <c r="E572" t="s">
        <v>334</v>
      </c>
      <c r="F572">
        <v>17.059999999999999</v>
      </c>
      <c r="G572" t="s">
        <v>1914</v>
      </c>
      <c r="H572" t="s">
        <v>43</v>
      </c>
      <c r="I572">
        <v>106</v>
      </c>
      <c r="J572" t="s">
        <v>1915</v>
      </c>
      <c r="K572" t="s">
        <v>1913</v>
      </c>
    </row>
    <row r="573" spans="1:11" x14ac:dyDescent="0.35">
      <c r="A573" t="s">
        <v>1913</v>
      </c>
      <c r="B573" t="s">
        <v>1913</v>
      </c>
      <c r="C573" t="s">
        <v>198</v>
      </c>
      <c r="D573" t="s">
        <v>1916</v>
      </c>
      <c r="E573" t="s">
        <v>1917</v>
      </c>
      <c r="F573">
        <v>21.12</v>
      </c>
      <c r="G573" t="s">
        <v>315</v>
      </c>
      <c r="H573" t="s">
        <v>43</v>
      </c>
      <c r="I573">
        <v>18</v>
      </c>
      <c r="J573" t="s">
        <v>1918</v>
      </c>
      <c r="K573" t="s">
        <v>1913</v>
      </c>
    </row>
    <row r="574" spans="1:11" x14ac:dyDescent="0.35">
      <c r="A574" t="s">
        <v>1913</v>
      </c>
      <c r="B574" t="s">
        <v>1913</v>
      </c>
      <c r="C574" t="s">
        <v>198</v>
      </c>
      <c r="D574" t="s">
        <v>1333</v>
      </c>
      <c r="E574" t="s">
        <v>1334</v>
      </c>
      <c r="F574">
        <v>21.17</v>
      </c>
      <c r="G574" t="s">
        <v>1919</v>
      </c>
      <c r="H574" t="s">
        <v>43</v>
      </c>
      <c r="I574">
        <v>11</v>
      </c>
      <c r="J574" t="s">
        <v>1920</v>
      </c>
      <c r="K574" t="s">
        <v>1913</v>
      </c>
    </row>
    <row r="575" spans="1:11" x14ac:dyDescent="0.35">
      <c r="A575" t="s">
        <v>1913</v>
      </c>
      <c r="B575" t="s">
        <v>1913</v>
      </c>
      <c r="C575" t="s">
        <v>198</v>
      </c>
      <c r="D575" t="s">
        <v>199</v>
      </c>
      <c r="E575" t="s">
        <v>200</v>
      </c>
      <c r="F575">
        <v>18.11</v>
      </c>
      <c r="G575" t="s">
        <v>1599</v>
      </c>
      <c r="H575" t="s">
        <v>43</v>
      </c>
      <c r="I575">
        <v>31</v>
      </c>
      <c r="J575" t="s">
        <v>1921</v>
      </c>
      <c r="K575" t="s">
        <v>1913</v>
      </c>
    </row>
    <row r="576" spans="1:11" x14ac:dyDescent="0.35">
      <c r="A576" t="s">
        <v>1913</v>
      </c>
      <c r="B576" t="s">
        <v>1913</v>
      </c>
      <c r="C576" t="s">
        <v>198</v>
      </c>
      <c r="D576" t="s">
        <v>207</v>
      </c>
      <c r="E576" t="s">
        <v>208</v>
      </c>
      <c r="F576">
        <v>14.72</v>
      </c>
      <c r="G576" t="s">
        <v>1922</v>
      </c>
      <c r="H576" t="s">
        <v>43</v>
      </c>
      <c r="I576">
        <v>11</v>
      </c>
      <c r="J576" t="s">
        <v>1923</v>
      </c>
      <c r="K576" t="s">
        <v>1913</v>
      </c>
    </row>
    <row r="577" spans="1:11" x14ac:dyDescent="0.35">
      <c r="A577" t="s">
        <v>1913</v>
      </c>
      <c r="B577" t="s">
        <v>1913</v>
      </c>
      <c r="C577" t="s">
        <v>198</v>
      </c>
      <c r="D577" t="s">
        <v>221</v>
      </c>
      <c r="E577" t="s">
        <v>222</v>
      </c>
      <c r="F577">
        <v>15.83</v>
      </c>
      <c r="G577" t="s">
        <v>1924</v>
      </c>
      <c r="H577" t="s">
        <v>43</v>
      </c>
      <c r="I577">
        <v>17</v>
      </c>
      <c r="J577" t="s">
        <v>1925</v>
      </c>
      <c r="K577" t="s">
        <v>1913</v>
      </c>
    </row>
    <row r="578" spans="1:11" x14ac:dyDescent="0.35">
      <c r="A578" t="s">
        <v>1913</v>
      </c>
      <c r="B578" t="s">
        <v>1913</v>
      </c>
      <c r="C578" t="s">
        <v>198</v>
      </c>
      <c r="D578" t="s">
        <v>203</v>
      </c>
      <c r="E578" t="s">
        <v>204</v>
      </c>
      <c r="F578">
        <v>27.39</v>
      </c>
      <c r="G578" t="s">
        <v>1926</v>
      </c>
      <c r="H578" t="s">
        <v>43</v>
      </c>
      <c r="I578">
        <v>17</v>
      </c>
      <c r="J578" t="s">
        <v>1927</v>
      </c>
      <c r="K578" t="s">
        <v>1913</v>
      </c>
    </row>
    <row r="579" spans="1:11" x14ac:dyDescent="0.35">
      <c r="A579" t="s">
        <v>1913</v>
      </c>
      <c r="B579" t="s">
        <v>1913</v>
      </c>
      <c r="C579" t="s">
        <v>198</v>
      </c>
      <c r="D579" t="s">
        <v>218</v>
      </c>
      <c r="E579" t="s">
        <v>219</v>
      </c>
      <c r="F579">
        <v>15.18</v>
      </c>
      <c r="G579" t="s">
        <v>1928</v>
      </c>
      <c r="H579" t="s">
        <v>43</v>
      </c>
      <c r="I579">
        <v>4</v>
      </c>
      <c r="K579" t="s">
        <v>1913</v>
      </c>
    </row>
    <row r="580" spans="1:11" x14ac:dyDescent="0.35">
      <c r="A580" t="s">
        <v>1913</v>
      </c>
      <c r="B580" t="s">
        <v>1913</v>
      </c>
      <c r="C580" t="s">
        <v>198</v>
      </c>
      <c r="D580" t="s">
        <v>323</v>
      </c>
      <c r="E580" t="s">
        <v>324</v>
      </c>
      <c r="F580">
        <v>11.54</v>
      </c>
      <c r="G580" t="s">
        <v>1929</v>
      </c>
      <c r="H580" t="s">
        <v>43</v>
      </c>
      <c r="I580">
        <v>3</v>
      </c>
      <c r="K580" t="s">
        <v>1913</v>
      </c>
    </row>
    <row r="581" spans="1:11" x14ac:dyDescent="0.35">
      <c r="A581" t="s">
        <v>1913</v>
      </c>
      <c r="B581" t="s">
        <v>1913</v>
      </c>
      <c r="C581" t="s">
        <v>158</v>
      </c>
      <c r="D581" t="s">
        <v>1930</v>
      </c>
      <c r="E581" t="s">
        <v>1931</v>
      </c>
      <c r="F581">
        <v>25.7</v>
      </c>
      <c r="G581" t="s">
        <v>1932</v>
      </c>
      <c r="H581" t="s">
        <v>43</v>
      </c>
      <c r="I581">
        <v>12</v>
      </c>
      <c r="J581" t="s">
        <v>1933</v>
      </c>
      <c r="K581" t="s">
        <v>1913</v>
      </c>
    </row>
    <row r="582" spans="1:11" x14ac:dyDescent="0.35">
      <c r="A582" t="s">
        <v>1934</v>
      </c>
      <c r="B582" t="s">
        <v>1934</v>
      </c>
      <c r="C582" t="s">
        <v>39</v>
      </c>
      <c r="D582" t="s">
        <v>40</v>
      </c>
      <c r="E582" t="s">
        <v>41</v>
      </c>
      <c r="F582">
        <v>18.149999999999999</v>
      </c>
      <c r="G582" t="s">
        <v>1935</v>
      </c>
      <c r="H582" t="s">
        <v>43</v>
      </c>
      <c r="I582">
        <v>166</v>
      </c>
      <c r="J582" t="s">
        <v>1936</v>
      </c>
      <c r="K582" t="s">
        <v>1934</v>
      </c>
    </row>
    <row r="583" spans="1:11" x14ac:dyDescent="0.35">
      <c r="A583" t="s">
        <v>1934</v>
      </c>
      <c r="B583" t="s">
        <v>1934</v>
      </c>
      <c r="C583" t="s">
        <v>39</v>
      </c>
      <c r="D583" t="s">
        <v>49</v>
      </c>
      <c r="E583" t="s">
        <v>50</v>
      </c>
      <c r="F583">
        <v>62.69</v>
      </c>
      <c r="G583" t="s">
        <v>1937</v>
      </c>
      <c r="H583" t="s">
        <v>43</v>
      </c>
      <c r="I583">
        <v>4</v>
      </c>
      <c r="K583" t="s">
        <v>1934</v>
      </c>
    </row>
    <row r="584" spans="1:11" x14ac:dyDescent="0.35">
      <c r="A584" t="s">
        <v>1934</v>
      </c>
      <c r="B584" t="s">
        <v>1934</v>
      </c>
      <c r="C584" t="s">
        <v>39</v>
      </c>
      <c r="D584" t="s">
        <v>45</v>
      </c>
      <c r="E584" t="s">
        <v>46</v>
      </c>
      <c r="F584">
        <v>18.61</v>
      </c>
      <c r="G584" t="s">
        <v>1938</v>
      </c>
      <c r="H584" t="s">
        <v>43</v>
      </c>
      <c r="I584">
        <v>5</v>
      </c>
      <c r="K584" t="s">
        <v>1934</v>
      </c>
    </row>
    <row r="585" spans="1:11" x14ac:dyDescent="0.35">
      <c r="A585" t="s">
        <v>1934</v>
      </c>
      <c r="B585" t="s">
        <v>1934</v>
      </c>
      <c r="C585" t="s">
        <v>39</v>
      </c>
      <c r="D585" t="s">
        <v>64</v>
      </c>
      <c r="E585" t="s">
        <v>65</v>
      </c>
      <c r="F585">
        <v>16.760000000000002</v>
      </c>
      <c r="G585" t="s">
        <v>1939</v>
      </c>
      <c r="H585" t="s">
        <v>43</v>
      </c>
      <c r="I585">
        <v>16</v>
      </c>
      <c r="J585" t="s">
        <v>1940</v>
      </c>
      <c r="K585" t="s">
        <v>1934</v>
      </c>
    </row>
    <row r="586" spans="1:11" x14ac:dyDescent="0.35">
      <c r="A586" t="s">
        <v>1934</v>
      </c>
      <c r="B586" t="s">
        <v>1934</v>
      </c>
      <c r="C586" t="s">
        <v>39</v>
      </c>
      <c r="D586" t="s">
        <v>57</v>
      </c>
      <c r="E586" t="s">
        <v>58</v>
      </c>
      <c r="F586">
        <v>68.67</v>
      </c>
      <c r="G586" t="s">
        <v>1941</v>
      </c>
      <c r="H586" t="s">
        <v>43</v>
      </c>
      <c r="I586">
        <v>3</v>
      </c>
      <c r="K586" t="s">
        <v>1934</v>
      </c>
    </row>
    <row r="587" spans="1:11" x14ac:dyDescent="0.35">
      <c r="A587" t="s">
        <v>1934</v>
      </c>
      <c r="B587" t="s">
        <v>1934</v>
      </c>
      <c r="C587" t="s">
        <v>338</v>
      </c>
      <c r="D587" t="s">
        <v>144</v>
      </c>
      <c r="E587" t="s">
        <v>145</v>
      </c>
      <c r="F587">
        <v>33.200000000000003</v>
      </c>
      <c r="G587" t="s">
        <v>1942</v>
      </c>
      <c r="H587" t="s">
        <v>43</v>
      </c>
      <c r="I587">
        <v>9</v>
      </c>
      <c r="J587" t="s">
        <v>1943</v>
      </c>
      <c r="K587" t="s">
        <v>1934</v>
      </c>
    </row>
    <row r="588" spans="1:11" x14ac:dyDescent="0.35">
      <c r="A588" t="s">
        <v>1934</v>
      </c>
      <c r="B588" t="s">
        <v>1934</v>
      </c>
      <c r="C588" t="s">
        <v>338</v>
      </c>
      <c r="D588" t="s">
        <v>128</v>
      </c>
      <c r="E588" t="s">
        <v>129</v>
      </c>
      <c r="F588">
        <v>29.48</v>
      </c>
      <c r="G588" t="s">
        <v>1944</v>
      </c>
      <c r="H588" t="s">
        <v>43</v>
      </c>
      <c r="I588">
        <v>10</v>
      </c>
      <c r="J588" t="s">
        <v>1945</v>
      </c>
      <c r="K588" t="s">
        <v>1934</v>
      </c>
    </row>
    <row r="589" spans="1:11" x14ac:dyDescent="0.35">
      <c r="A589" t="s">
        <v>1934</v>
      </c>
      <c r="B589" t="s">
        <v>1934</v>
      </c>
      <c r="C589" t="s">
        <v>338</v>
      </c>
      <c r="D589" t="s">
        <v>1946</v>
      </c>
      <c r="E589" t="s">
        <v>1947</v>
      </c>
      <c r="F589">
        <v>23.49</v>
      </c>
      <c r="G589" t="s">
        <v>1948</v>
      </c>
      <c r="H589" t="s">
        <v>43</v>
      </c>
      <c r="I589">
        <v>8</v>
      </c>
      <c r="J589" t="s">
        <v>1949</v>
      </c>
      <c r="K589" t="s">
        <v>1934</v>
      </c>
    </row>
    <row r="590" spans="1:11" x14ac:dyDescent="0.35">
      <c r="A590" t="s">
        <v>1934</v>
      </c>
      <c r="B590" t="s">
        <v>1934</v>
      </c>
      <c r="C590" t="s">
        <v>338</v>
      </c>
      <c r="D590" t="s">
        <v>1687</v>
      </c>
      <c r="E590" t="s">
        <v>1688</v>
      </c>
      <c r="F590">
        <v>31.77</v>
      </c>
      <c r="G590" t="s">
        <v>1950</v>
      </c>
      <c r="H590" t="s">
        <v>43</v>
      </c>
      <c r="I590">
        <v>5</v>
      </c>
      <c r="K590" t="s">
        <v>1934</v>
      </c>
    </row>
    <row r="591" spans="1:11" x14ac:dyDescent="0.35">
      <c r="A591" t="s">
        <v>1934</v>
      </c>
      <c r="B591" t="s">
        <v>1934</v>
      </c>
      <c r="C591" t="s">
        <v>338</v>
      </c>
      <c r="D591" t="s">
        <v>1951</v>
      </c>
      <c r="E591" t="s">
        <v>1952</v>
      </c>
      <c r="F591">
        <v>31.49</v>
      </c>
      <c r="G591" t="s">
        <v>1953</v>
      </c>
      <c r="H591" t="s">
        <v>43</v>
      </c>
      <c r="I591">
        <v>6</v>
      </c>
      <c r="J591" t="s">
        <v>1954</v>
      </c>
      <c r="K591" t="s">
        <v>1934</v>
      </c>
    </row>
    <row r="592" spans="1:11" x14ac:dyDescent="0.35">
      <c r="A592" t="s">
        <v>1955</v>
      </c>
      <c r="B592" t="s">
        <v>1956</v>
      </c>
      <c r="C592" t="s">
        <v>235</v>
      </c>
      <c r="D592" t="s">
        <v>1321</v>
      </c>
      <c r="E592" t="s">
        <v>1322</v>
      </c>
      <c r="F592">
        <v>27.52</v>
      </c>
      <c r="G592" t="s">
        <v>1957</v>
      </c>
      <c r="H592" t="s">
        <v>43</v>
      </c>
      <c r="I592">
        <v>9</v>
      </c>
      <c r="J592" t="s">
        <v>1958</v>
      </c>
      <c r="K592" t="s">
        <v>1955</v>
      </c>
    </row>
    <row r="593" spans="1:11" x14ac:dyDescent="0.35">
      <c r="A593" t="s">
        <v>1955</v>
      </c>
      <c r="B593" t="s">
        <v>1956</v>
      </c>
      <c r="C593" t="s">
        <v>235</v>
      </c>
      <c r="D593" t="s">
        <v>1959</v>
      </c>
      <c r="E593" t="s">
        <v>1960</v>
      </c>
      <c r="F593">
        <v>24.11</v>
      </c>
      <c r="G593" t="s">
        <v>1961</v>
      </c>
      <c r="H593" t="s">
        <v>43</v>
      </c>
      <c r="I593">
        <v>9</v>
      </c>
      <c r="J593" t="s">
        <v>1962</v>
      </c>
      <c r="K593" t="s">
        <v>1955</v>
      </c>
    </row>
    <row r="594" spans="1:11" x14ac:dyDescent="0.35">
      <c r="A594" t="s">
        <v>1955</v>
      </c>
      <c r="B594" t="s">
        <v>1956</v>
      </c>
      <c r="C594" t="s">
        <v>235</v>
      </c>
      <c r="D594" t="s">
        <v>240</v>
      </c>
      <c r="E594" t="s">
        <v>241</v>
      </c>
      <c r="F594">
        <v>20.51</v>
      </c>
      <c r="G594" t="s">
        <v>1963</v>
      </c>
      <c r="H594" t="s">
        <v>43</v>
      </c>
      <c r="I594">
        <v>7</v>
      </c>
      <c r="J594" t="s">
        <v>1964</v>
      </c>
      <c r="K594" t="s">
        <v>1955</v>
      </c>
    </row>
    <row r="595" spans="1:11" x14ac:dyDescent="0.35">
      <c r="A595" t="s">
        <v>1955</v>
      </c>
      <c r="B595" t="s">
        <v>1956</v>
      </c>
      <c r="C595" t="s">
        <v>235</v>
      </c>
      <c r="D595" t="s">
        <v>1902</v>
      </c>
      <c r="E595" t="s">
        <v>1903</v>
      </c>
      <c r="F595">
        <v>81439</v>
      </c>
      <c r="G595" t="s">
        <v>1965</v>
      </c>
      <c r="H595" t="s">
        <v>196</v>
      </c>
      <c r="I595">
        <v>5</v>
      </c>
      <c r="K595" t="s">
        <v>1955</v>
      </c>
    </row>
    <row r="596" spans="1:11" x14ac:dyDescent="0.35">
      <c r="A596" t="s">
        <v>1955</v>
      </c>
      <c r="B596" t="s">
        <v>1956</v>
      </c>
      <c r="C596" t="s">
        <v>235</v>
      </c>
      <c r="D596" t="s">
        <v>866</v>
      </c>
      <c r="E596" t="s">
        <v>867</v>
      </c>
      <c r="F596">
        <v>143923</v>
      </c>
      <c r="G596" t="s">
        <v>1966</v>
      </c>
      <c r="H596" t="s">
        <v>196</v>
      </c>
      <c r="I596">
        <v>8</v>
      </c>
      <c r="J596" t="s">
        <v>1967</v>
      </c>
      <c r="K596" t="s">
        <v>1955</v>
      </c>
    </row>
    <row r="597" spans="1:11" x14ac:dyDescent="0.35">
      <c r="A597" t="s">
        <v>1955</v>
      </c>
      <c r="B597" t="s">
        <v>1956</v>
      </c>
      <c r="C597" t="s">
        <v>235</v>
      </c>
      <c r="D597" t="s">
        <v>1968</v>
      </c>
      <c r="E597" t="s">
        <v>1969</v>
      </c>
      <c r="F597">
        <v>111168</v>
      </c>
      <c r="G597" t="s">
        <v>1970</v>
      </c>
      <c r="H597" t="s">
        <v>196</v>
      </c>
      <c r="I597">
        <v>4</v>
      </c>
      <c r="K597" t="s">
        <v>1955</v>
      </c>
    </row>
    <row r="598" spans="1:11" x14ac:dyDescent="0.35">
      <c r="A598" t="s">
        <v>1955</v>
      </c>
      <c r="B598" t="s">
        <v>1956</v>
      </c>
      <c r="C598" t="s">
        <v>235</v>
      </c>
      <c r="D598" t="s">
        <v>1971</v>
      </c>
      <c r="E598" t="s">
        <v>1972</v>
      </c>
      <c r="F598">
        <v>63349</v>
      </c>
      <c r="G598" t="s">
        <v>1973</v>
      </c>
      <c r="H598" t="s">
        <v>196</v>
      </c>
      <c r="I598">
        <v>3</v>
      </c>
      <c r="K598" t="s">
        <v>1955</v>
      </c>
    </row>
    <row r="599" spans="1:11" x14ac:dyDescent="0.35">
      <c r="A599" t="s">
        <v>1955</v>
      </c>
      <c r="B599" t="s">
        <v>1956</v>
      </c>
      <c r="C599" t="s">
        <v>235</v>
      </c>
      <c r="D599" t="s">
        <v>252</v>
      </c>
      <c r="E599" t="s">
        <v>253</v>
      </c>
      <c r="F599">
        <v>145515</v>
      </c>
      <c r="G599" t="s">
        <v>1974</v>
      </c>
      <c r="H599" t="s">
        <v>196</v>
      </c>
      <c r="I599">
        <v>3</v>
      </c>
      <c r="K599" t="s">
        <v>1955</v>
      </c>
    </row>
    <row r="600" spans="1:11" x14ac:dyDescent="0.35">
      <c r="A600" t="s">
        <v>1955</v>
      </c>
      <c r="B600" t="s">
        <v>1956</v>
      </c>
      <c r="C600" t="s">
        <v>235</v>
      </c>
      <c r="D600" t="s">
        <v>236</v>
      </c>
      <c r="E600" t="s">
        <v>237</v>
      </c>
      <c r="F600">
        <v>15000</v>
      </c>
      <c r="G600" t="s">
        <v>1975</v>
      </c>
      <c r="H600" t="s">
        <v>196</v>
      </c>
      <c r="I600">
        <v>1</v>
      </c>
      <c r="K600" t="s">
        <v>1955</v>
      </c>
    </row>
    <row r="601" spans="1:11" x14ac:dyDescent="0.35">
      <c r="A601" t="s">
        <v>1955</v>
      </c>
      <c r="B601" t="s">
        <v>1956</v>
      </c>
      <c r="C601" t="s">
        <v>235</v>
      </c>
      <c r="D601" t="s">
        <v>1864</v>
      </c>
      <c r="E601" t="s">
        <v>1865</v>
      </c>
      <c r="F601">
        <v>19</v>
      </c>
      <c r="G601" t="s">
        <v>1976</v>
      </c>
      <c r="H601" t="s">
        <v>43</v>
      </c>
      <c r="I601">
        <v>1</v>
      </c>
      <c r="K601" t="s">
        <v>1955</v>
      </c>
    </row>
    <row r="602" spans="1:11" x14ac:dyDescent="0.35">
      <c r="A602" t="s">
        <v>1977</v>
      </c>
      <c r="B602" t="s">
        <v>1978</v>
      </c>
      <c r="C602" t="s">
        <v>486</v>
      </c>
      <c r="D602" t="s">
        <v>1979</v>
      </c>
      <c r="E602" t="s">
        <v>1980</v>
      </c>
      <c r="F602">
        <v>37.42</v>
      </c>
      <c r="G602" t="s">
        <v>1981</v>
      </c>
      <c r="H602" t="s">
        <v>43</v>
      </c>
      <c r="I602">
        <v>1</v>
      </c>
      <c r="K602" t="s">
        <v>1977</v>
      </c>
    </row>
    <row r="603" spans="1:11" x14ac:dyDescent="0.35">
      <c r="A603" t="s">
        <v>1977</v>
      </c>
      <c r="B603" t="s">
        <v>1978</v>
      </c>
      <c r="C603" t="s">
        <v>486</v>
      </c>
      <c r="D603" t="s">
        <v>1982</v>
      </c>
      <c r="E603" t="s">
        <v>1983</v>
      </c>
      <c r="F603">
        <v>28.8</v>
      </c>
      <c r="G603" t="s">
        <v>1984</v>
      </c>
      <c r="H603" t="s">
        <v>43</v>
      </c>
      <c r="I603">
        <v>1</v>
      </c>
      <c r="K603" t="s">
        <v>1977</v>
      </c>
    </row>
    <row r="604" spans="1:11" x14ac:dyDescent="0.35">
      <c r="A604" t="s">
        <v>1977</v>
      </c>
      <c r="B604" t="s">
        <v>1978</v>
      </c>
      <c r="C604" t="s">
        <v>486</v>
      </c>
      <c r="D604" t="s">
        <v>1985</v>
      </c>
      <c r="E604" t="s">
        <v>1986</v>
      </c>
      <c r="F604">
        <v>71446</v>
      </c>
      <c r="G604" t="s">
        <v>1987</v>
      </c>
      <c r="H604" t="s">
        <v>196</v>
      </c>
      <c r="I604">
        <v>1</v>
      </c>
      <c r="K604" t="s">
        <v>1977</v>
      </c>
    </row>
    <row r="605" spans="1:11" x14ac:dyDescent="0.35">
      <c r="A605" t="s">
        <v>1977</v>
      </c>
      <c r="B605" t="s">
        <v>1978</v>
      </c>
      <c r="C605" t="s">
        <v>1588</v>
      </c>
      <c r="D605" t="s">
        <v>1988</v>
      </c>
      <c r="E605" t="s">
        <v>1989</v>
      </c>
      <c r="F605">
        <v>20.350000000000001</v>
      </c>
      <c r="G605" t="s">
        <v>1990</v>
      </c>
      <c r="H605" t="s">
        <v>43</v>
      </c>
      <c r="I605">
        <v>1</v>
      </c>
      <c r="K605" t="s">
        <v>1977</v>
      </c>
    </row>
    <row r="606" spans="1:11" x14ac:dyDescent="0.35">
      <c r="A606" t="s">
        <v>1977</v>
      </c>
      <c r="B606" t="s">
        <v>1978</v>
      </c>
      <c r="C606" t="s">
        <v>1588</v>
      </c>
      <c r="D606" t="s">
        <v>1991</v>
      </c>
      <c r="E606" t="s">
        <v>1992</v>
      </c>
      <c r="F606">
        <v>87180</v>
      </c>
      <c r="G606" t="s">
        <v>1993</v>
      </c>
      <c r="H606" t="s">
        <v>196</v>
      </c>
      <c r="I606">
        <v>1</v>
      </c>
      <c r="K606" t="s">
        <v>1977</v>
      </c>
    </row>
    <row r="607" spans="1:11" x14ac:dyDescent="0.35">
      <c r="A607" t="s">
        <v>1977</v>
      </c>
      <c r="B607" t="s">
        <v>1978</v>
      </c>
      <c r="C607" t="s">
        <v>1588</v>
      </c>
      <c r="D607" t="s">
        <v>1994</v>
      </c>
      <c r="E607" t="s">
        <v>1995</v>
      </c>
      <c r="F607">
        <v>27.39</v>
      </c>
      <c r="G607" t="s">
        <v>1926</v>
      </c>
      <c r="H607" t="s">
        <v>43</v>
      </c>
      <c r="I607">
        <v>1</v>
      </c>
      <c r="K607" t="s">
        <v>1977</v>
      </c>
    </row>
    <row r="608" spans="1:11" x14ac:dyDescent="0.35">
      <c r="A608" t="s">
        <v>1977</v>
      </c>
      <c r="B608" t="s">
        <v>1978</v>
      </c>
      <c r="C608" t="s">
        <v>715</v>
      </c>
      <c r="D608" t="s">
        <v>1996</v>
      </c>
      <c r="E608" t="s">
        <v>1997</v>
      </c>
      <c r="F608">
        <v>142303</v>
      </c>
      <c r="G608" t="s">
        <v>1998</v>
      </c>
      <c r="H608" t="s">
        <v>196</v>
      </c>
      <c r="I608">
        <v>1</v>
      </c>
      <c r="K608" t="s">
        <v>1977</v>
      </c>
    </row>
    <row r="609" spans="1:11" x14ac:dyDescent="0.35">
      <c r="A609" t="s">
        <v>1977</v>
      </c>
      <c r="B609" t="s">
        <v>1978</v>
      </c>
      <c r="C609" t="s">
        <v>715</v>
      </c>
      <c r="D609" t="s">
        <v>1999</v>
      </c>
      <c r="E609" t="s">
        <v>2000</v>
      </c>
      <c r="F609">
        <v>129904</v>
      </c>
      <c r="G609" t="s">
        <v>2001</v>
      </c>
      <c r="H609" t="s">
        <v>196</v>
      </c>
      <c r="I609">
        <v>1</v>
      </c>
      <c r="K609" t="s">
        <v>1977</v>
      </c>
    </row>
    <row r="610" spans="1:11" x14ac:dyDescent="0.35">
      <c r="A610" t="s">
        <v>1977</v>
      </c>
      <c r="B610" t="s">
        <v>1978</v>
      </c>
      <c r="C610" t="s">
        <v>2002</v>
      </c>
      <c r="D610" t="s">
        <v>2003</v>
      </c>
      <c r="E610" t="s">
        <v>2004</v>
      </c>
      <c r="F610">
        <v>23.28</v>
      </c>
      <c r="G610" t="s">
        <v>1605</v>
      </c>
      <c r="H610" t="s">
        <v>43</v>
      </c>
      <c r="I610">
        <v>1</v>
      </c>
      <c r="K610" t="s">
        <v>1977</v>
      </c>
    </row>
    <row r="611" spans="1:11" x14ac:dyDescent="0.35">
      <c r="A611" t="s">
        <v>2005</v>
      </c>
      <c r="B611" t="s">
        <v>2006</v>
      </c>
      <c r="C611" t="s">
        <v>338</v>
      </c>
      <c r="D611" t="s">
        <v>2007</v>
      </c>
      <c r="E611" t="s">
        <v>2008</v>
      </c>
      <c r="F611">
        <v>68761</v>
      </c>
      <c r="G611" t="s">
        <v>2009</v>
      </c>
      <c r="H611" t="s">
        <v>196</v>
      </c>
      <c r="I611">
        <v>4</v>
      </c>
      <c r="K611" t="s">
        <v>2005</v>
      </c>
    </row>
    <row r="612" spans="1:11" x14ac:dyDescent="0.35">
      <c r="A612" t="s">
        <v>2005</v>
      </c>
      <c r="B612" t="s">
        <v>2006</v>
      </c>
      <c r="C612" t="s">
        <v>338</v>
      </c>
      <c r="D612" t="s">
        <v>2010</v>
      </c>
      <c r="E612" t="s">
        <v>2011</v>
      </c>
      <c r="F612">
        <v>64935</v>
      </c>
      <c r="G612" t="s">
        <v>2012</v>
      </c>
      <c r="H612" t="s">
        <v>196</v>
      </c>
      <c r="I612">
        <v>32</v>
      </c>
      <c r="J612" t="s">
        <v>2013</v>
      </c>
      <c r="K612" t="s">
        <v>2005</v>
      </c>
    </row>
    <row r="613" spans="1:11" x14ac:dyDescent="0.35">
      <c r="A613" t="s">
        <v>2005</v>
      </c>
      <c r="B613" t="s">
        <v>2006</v>
      </c>
      <c r="C613" t="s">
        <v>338</v>
      </c>
      <c r="D613" t="s">
        <v>1240</v>
      </c>
      <c r="E613" t="s">
        <v>1241</v>
      </c>
      <c r="F613">
        <v>62248</v>
      </c>
      <c r="G613" t="s">
        <v>2014</v>
      </c>
      <c r="H613" t="s">
        <v>196</v>
      </c>
      <c r="I613">
        <v>7</v>
      </c>
      <c r="J613" t="s">
        <v>2015</v>
      </c>
      <c r="K613" t="s">
        <v>2005</v>
      </c>
    </row>
    <row r="614" spans="1:11" x14ac:dyDescent="0.35">
      <c r="A614" t="s">
        <v>2005</v>
      </c>
      <c r="B614" t="s">
        <v>2006</v>
      </c>
      <c r="C614" t="s">
        <v>338</v>
      </c>
      <c r="D614" t="s">
        <v>2016</v>
      </c>
      <c r="E614" t="s">
        <v>2017</v>
      </c>
      <c r="F614">
        <v>75013</v>
      </c>
      <c r="G614" t="s">
        <v>2018</v>
      </c>
      <c r="H614" t="s">
        <v>196</v>
      </c>
      <c r="I614">
        <v>10</v>
      </c>
      <c r="J614" t="s">
        <v>2019</v>
      </c>
      <c r="K614" t="s">
        <v>2005</v>
      </c>
    </row>
    <row r="615" spans="1:11" x14ac:dyDescent="0.35">
      <c r="A615" t="s">
        <v>2005</v>
      </c>
      <c r="B615" t="s">
        <v>2006</v>
      </c>
      <c r="C615" t="s">
        <v>338</v>
      </c>
      <c r="D615" t="s">
        <v>2020</v>
      </c>
      <c r="E615" t="s">
        <v>2021</v>
      </c>
      <c r="F615">
        <v>71279</v>
      </c>
      <c r="G615" t="s">
        <v>2022</v>
      </c>
      <c r="H615" t="s">
        <v>196</v>
      </c>
      <c r="I615">
        <v>5</v>
      </c>
      <c r="K615" t="s">
        <v>2005</v>
      </c>
    </row>
    <row r="616" spans="1:11" x14ac:dyDescent="0.35">
      <c r="A616" t="s">
        <v>2005</v>
      </c>
      <c r="B616" t="s">
        <v>2006</v>
      </c>
      <c r="C616" t="s">
        <v>338</v>
      </c>
      <c r="D616" t="s">
        <v>121</v>
      </c>
      <c r="E616" t="s">
        <v>122</v>
      </c>
      <c r="F616">
        <v>74772</v>
      </c>
      <c r="G616" t="s">
        <v>2023</v>
      </c>
      <c r="H616" t="s">
        <v>196</v>
      </c>
      <c r="I616">
        <v>1</v>
      </c>
      <c r="K616" t="s">
        <v>2005</v>
      </c>
    </row>
    <row r="617" spans="1:11" x14ac:dyDescent="0.35">
      <c r="A617" t="s">
        <v>2005</v>
      </c>
      <c r="B617" t="s">
        <v>2006</v>
      </c>
      <c r="C617" t="s">
        <v>338</v>
      </c>
      <c r="D617" t="s">
        <v>357</v>
      </c>
      <c r="E617" t="s">
        <v>358</v>
      </c>
      <c r="F617">
        <v>54862</v>
      </c>
      <c r="G617" t="s">
        <v>2024</v>
      </c>
      <c r="H617" t="s">
        <v>196</v>
      </c>
      <c r="I617">
        <v>1</v>
      </c>
      <c r="K617" t="s">
        <v>2005</v>
      </c>
    </row>
    <row r="618" spans="1:11" x14ac:dyDescent="0.35">
      <c r="A618" t="s">
        <v>2005</v>
      </c>
      <c r="B618" t="s">
        <v>2006</v>
      </c>
      <c r="C618" t="s">
        <v>338</v>
      </c>
      <c r="D618" t="s">
        <v>353</v>
      </c>
      <c r="E618" t="s">
        <v>354</v>
      </c>
      <c r="F618">
        <v>66259</v>
      </c>
      <c r="G618" t="s">
        <v>2025</v>
      </c>
      <c r="H618" t="s">
        <v>196</v>
      </c>
      <c r="I618">
        <v>3</v>
      </c>
      <c r="K618" t="s">
        <v>2005</v>
      </c>
    </row>
    <row r="619" spans="1:11" x14ac:dyDescent="0.35">
      <c r="A619" t="s">
        <v>2005</v>
      </c>
      <c r="B619" t="s">
        <v>2006</v>
      </c>
      <c r="C619" t="s">
        <v>338</v>
      </c>
      <c r="D619" t="s">
        <v>349</v>
      </c>
      <c r="E619" t="s">
        <v>350</v>
      </c>
      <c r="F619">
        <v>70277</v>
      </c>
      <c r="G619" t="s">
        <v>2026</v>
      </c>
      <c r="H619" t="s">
        <v>196</v>
      </c>
      <c r="I619">
        <v>1</v>
      </c>
      <c r="K619" t="s">
        <v>2005</v>
      </c>
    </row>
    <row r="620" spans="1:11" x14ac:dyDescent="0.35">
      <c r="A620" t="s">
        <v>2005</v>
      </c>
      <c r="B620" t="s">
        <v>2006</v>
      </c>
      <c r="C620" t="s">
        <v>486</v>
      </c>
      <c r="D620" t="s">
        <v>2027</v>
      </c>
      <c r="E620" t="s">
        <v>2028</v>
      </c>
      <c r="F620">
        <v>21.75</v>
      </c>
      <c r="G620" t="s">
        <v>2029</v>
      </c>
      <c r="H620" t="s">
        <v>43</v>
      </c>
      <c r="I620">
        <v>10</v>
      </c>
      <c r="J620" t="s">
        <v>2030</v>
      </c>
      <c r="K620" t="s">
        <v>2005</v>
      </c>
    </row>
    <row r="621" spans="1:11" x14ac:dyDescent="0.35">
      <c r="A621" t="s">
        <v>2031</v>
      </c>
      <c r="B621" t="s">
        <v>2032</v>
      </c>
      <c r="C621" t="s">
        <v>2002</v>
      </c>
      <c r="D621" t="s">
        <v>2033</v>
      </c>
      <c r="E621" t="s">
        <v>2034</v>
      </c>
      <c r="F621">
        <v>48655</v>
      </c>
      <c r="G621" t="s">
        <v>2035</v>
      </c>
      <c r="H621" t="s">
        <v>196</v>
      </c>
      <c r="I621">
        <v>74</v>
      </c>
      <c r="J621" t="s">
        <v>2036</v>
      </c>
      <c r="K621" t="s">
        <v>2037</v>
      </c>
    </row>
    <row r="622" spans="1:11" x14ac:dyDescent="0.35">
      <c r="A622" t="s">
        <v>2031</v>
      </c>
      <c r="B622" t="s">
        <v>2032</v>
      </c>
      <c r="C622" t="s">
        <v>2002</v>
      </c>
      <c r="D622" t="s">
        <v>2038</v>
      </c>
      <c r="E622" t="s">
        <v>2039</v>
      </c>
      <c r="F622">
        <v>34562</v>
      </c>
      <c r="G622" t="s">
        <v>2040</v>
      </c>
      <c r="H622" t="s">
        <v>196</v>
      </c>
      <c r="I622">
        <v>12</v>
      </c>
      <c r="J622" t="s">
        <v>2041</v>
      </c>
      <c r="K622" t="s">
        <v>2037</v>
      </c>
    </row>
    <row r="623" spans="1:11" x14ac:dyDescent="0.35">
      <c r="A623" t="s">
        <v>2031</v>
      </c>
      <c r="B623" t="s">
        <v>2032</v>
      </c>
      <c r="C623" t="s">
        <v>2002</v>
      </c>
      <c r="D623" t="s">
        <v>2042</v>
      </c>
      <c r="E623" t="s">
        <v>2043</v>
      </c>
      <c r="F623">
        <v>41569</v>
      </c>
      <c r="G623" t="s">
        <v>2044</v>
      </c>
      <c r="H623" t="s">
        <v>196</v>
      </c>
      <c r="I623">
        <v>5</v>
      </c>
      <c r="K623" t="s">
        <v>2037</v>
      </c>
    </row>
    <row r="624" spans="1:11" x14ac:dyDescent="0.35">
      <c r="A624" t="s">
        <v>2031</v>
      </c>
      <c r="B624" t="s">
        <v>2032</v>
      </c>
      <c r="C624" t="s">
        <v>2002</v>
      </c>
      <c r="D624" t="s">
        <v>2045</v>
      </c>
      <c r="E624" t="s">
        <v>2046</v>
      </c>
      <c r="F624">
        <v>57139</v>
      </c>
      <c r="G624" t="s">
        <v>2047</v>
      </c>
      <c r="H624" t="s">
        <v>196</v>
      </c>
      <c r="I624">
        <v>15</v>
      </c>
      <c r="J624" t="s">
        <v>2048</v>
      </c>
      <c r="K624" t="s">
        <v>2037</v>
      </c>
    </row>
    <row r="625" spans="1:11" x14ac:dyDescent="0.35">
      <c r="A625" t="s">
        <v>2031</v>
      </c>
      <c r="B625" t="s">
        <v>2032</v>
      </c>
      <c r="C625" t="s">
        <v>2002</v>
      </c>
      <c r="D625" t="s">
        <v>2049</v>
      </c>
      <c r="E625" t="s">
        <v>2050</v>
      </c>
      <c r="F625">
        <v>68976</v>
      </c>
      <c r="G625" t="s">
        <v>2051</v>
      </c>
      <c r="H625" t="s">
        <v>196</v>
      </c>
      <c r="I625">
        <v>16</v>
      </c>
      <c r="J625" t="s">
        <v>2052</v>
      </c>
      <c r="K625" t="s">
        <v>2037</v>
      </c>
    </row>
    <row r="626" spans="1:11" x14ac:dyDescent="0.35">
      <c r="A626" t="s">
        <v>2031</v>
      </c>
      <c r="B626" t="s">
        <v>2032</v>
      </c>
      <c r="C626" t="s">
        <v>2002</v>
      </c>
      <c r="D626" t="s">
        <v>2053</v>
      </c>
      <c r="E626" t="s">
        <v>2054</v>
      </c>
      <c r="F626">
        <v>54498</v>
      </c>
      <c r="G626" t="s">
        <v>2055</v>
      </c>
      <c r="H626" t="s">
        <v>196</v>
      </c>
      <c r="I626">
        <v>13</v>
      </c>
      <c r="J626" t="s">
        <v>2056</v>
      </c>
      <c r="K626" t="s">
        <v>2037</v>
      </c>
    </row>
    <row r="627" spans="1:11" x14ac:dyDescent="0.35">
      <c r="A627" t="s">
        <v>2031</v>
      </c>
      <c r="B627" t="s">
        <v>2032</v>
      </c>
      <c r="C627" t="s">
        <v>2002</v>
      </c>
      <c r="D627" t="s">
        <v>2057</v>
      </c>
      <c r="E627" t="s">
        <v>2058</v>
      </c>
      <c r="F627">
        <v>20.63</v>
      </c>
      <c r="G627" t="s">
        <v>2059</v>
      </c>
      <c r="H627" t="s">
        <v>43</v>
      </c>
      <c r="I627">
        <v>6</v>
      </c>
      <c r="J627" t="s">
        <v>2060</v>
      </c>
      <c r="K627" t="s">
        <v>2037</v>
      </c>
    </row>
    <row r="628" spans="1:11" x14ac:dyDescent="0.35">
      <c r="A628" t="s">
        <v>2031</v>
      </c>
      <c r="B628" t="s">
        <v>2032</v>
      </c>
      <c r="C628" t="s">
        <v>2002</v>
      </c>
      <c r="D628" t="s">
        <v>2061</v>
      </c>
      <c r="E628" t="s">
        <v>2062</v>
      </c>
      <c r="F628">
        <v>62952</v>
      </c>
      <c r="G628" t="s">
        <v>2063</v>
      </c>
      <c r="H628" t="s">
        <v>196</v>
      </c>
      <c r="I628">
        <v>4</v>
      </c>
      <c r="K628" t="s">
        <v>2037</v>
      </c>
    </row>
    <row r="629" spans="1:11" x14ac:dyDescent="0.35">
      <c r="A629" t="s">
        <v>2031</v>
      </c>
      <c r="B629" t="s">
        <v>2032</v>
      </c>
      <c r="C629" t="s">
        <v>2002</v>
      </c>
      <c r="D629" t="s">
        <v>2064</v>
      </c>
      <c r="E629" t="s">
        <v>2065</v>
      </c>
      <c r="F629">
        <v>84793</v>
      </c>
      <c r="G629" t="s">
        <v>2066</v>
      </c>
      <c r="H629" t="s">
        <v>196</v>
      </c>
      <c r="I629">
        <v>4</v>
      </c>
      <c r="K629" t="s">
        <v>2037</v>
      </c>
    </row>
    <row r="630" spans="1:11" x14ac:dyDescent="0.35">
      <c r="A630" t="s">
        <v>2031</v>
      </c>
      <c r="B630" t="s">
        <v>2032</v>
      </c>
      <c r="C630" t="s">
        <v>2002</v>
      </c>
      <c r="D630" t="s">
        <v>2067</v>
      </c>
      <c r="E630" t="s">
        <v>2068</v>
      </c>
      <c r="F630">
        <v>29350</v>
      </c>
      <c r="G630" t="s">
        <v>2069</v>
      </c>
      <c r="H630" t="s">
        <v>196</v>
      </c>
      <c r="I630">
        <v>4</v>
      </c>
      <c r="K630" t="s">
        <v>2037</v>
      </c>
    </row>
    <row r="631" spans="1:11" x14ac:dyDescent="0.35">
      <c r="A631" t="s">
        <v>2070</v>
      </c>
      <c r="B631" t="s">
        <v>2070</v>
      </c>
      <c r="C631" t="s">
        <v>2071</v>
      </c>
      <c r="D631" t="s">
        <v>2072</v>
      </c>
      <c r="E631" t="s">
        <v>2073</v>
      </c>
      <c r="F631">
        <v>15.47</v>
      </c>
      <c r="G631" t="s">
        <v>2074</v>
      </c>
      <c r="H631" t="s">
        <v>43</v>
      </c>
      <c r="I631">
        <v>41</v>
      </c>
      <c r="J631" t="s">
        <v>2075</v>
      </c>
      <c r="K631" t="s">
        <v>2070</v>
      </c>
    </row>
    <row r="632" spans="1:11" x14ac:dyDescent="0.35">
      <c r="A632" t="s">
        <v>2070</v>
      </c>
      <c r="B632" t="s">
        <v>2070</v>
      </c>
      <c r="C632" t="s">
        <v>2071</v>
      </c>
      <c r="D632" t="s">
        <v>2076</v>
      </c>
      <c r="E632" t="s">
        <v>2077</v>
      </c>
      <c r="F632">
        <v>14.07</v>
      </c>
      <c r="G632" t="s">
        <v>2078</v>
      </c>
      <c r="H632" t="s">
        <v>43</v>
      </c>
      <c r="I632">
        <v>6</v>
      </c>
      <c r="J632" t="s">
        <v>2079</v>
      </c>
      <c r="K632" t="s">
        <v>2070</v>
      </c>
    </row>
    <row r="633" spans="1:11" x14ac:dyDescent="0.35">
      <c r="A633" t="s">
        <v>2070</v>
      </c>
      <c r="B633" t="s">
        <v>2070</v>
      </c>
      <c r="C633" t="s">
        <v>2071</v>
      </c>
      <c r="D633" t="s">
        <v>2080</v>
      </c>
      <c r="E633" t="s">
        <v>2081</v>
      </c>
      <c r="F633">
        <v>15.91</v>
      </c>
      <c r="G633" t="s">
        <v>2082</v>
      </c>
      <c r="H633" t="s">
        <v>43</v>
      </c>
      <c r="I633">
        <v>25</v>
      </c>
      <c r="J633" t="s">
        <v>2083</v>
      </c>
      <c r="K633" t="s">
        <v>2070</v>
      </c>
    </row>
    <row r="634" spans="1:11" x14ac:dyDescent="0.35">
      <c r="A634" t="s">
        <v>2070</v>
      </c>
      <c r="B634" t="s">
        <v>2070</v>
      </c>
      <c r="C634" t="s">
        <v>2071</v>
      </c>
      <c r="D634" t="s">
        <v>2084</v>
      </c>
      <c r="E634" t="s">
        <v>2085</v>
      </c>
      <c r="F634">
        <v>42883</v>
      </c>
      <c r="G634" t="s">
        <v>2086</v>
      </c>
      <c r="H634" t="s">
        <v>196</v>
      </c>
      <c r="I634">
        <v>8</v>
      </c>
      <c r="J634" t="s">
        <v>2087</v>
      </c>
      <c r="K634" t="s">
        <v>2070</v>
      </c>
    </row>
    <row r="635" spans="1:11" x14ac:dyDescent="0.35">
      <c r="A635" t="s">
        <v>2070</v>
      </c>
      <c r="B635" t="s">
        <v>2070</v>
      </c>
      <c r="C635" t="s">
        <v>2071</v>
      </c>
      <c r="D635" t="s">
        <v>2088</v>
      </c>
      <c r="E635" t="s">
        <v>2089</v>
      </c>
      <c r="F635">
        <v>12.37</v>
      </c>
      <c r="G635" t="s">
        <v>2090</v>
      </c>
      <c r="H635" t="s">
        <v>43</v>
      </c>
      <c r="I635">
        <v>2</v>
      </c>
      <c r="K635" t="s">
        <v>2070</v>
      </c>
    </row>
    <row r="636" spans="1:11" x14ac:dyDescent="0.35">
      <c r="A636" t="s">
        <v>2070</v>
      </c>
      <c r="B636" t="s">
        <v>2070</v>
      </c>
      <c r="C636" t="s">
        <v>2071</v>
      </c>
      <c r="D636" t="s">
        <v>2091</v>
      </c>
      <c r="E636" t="s">
        <v>2092</v>
      </c>
      <c r="F636">
        <v>18.25</v>
      </c>
      <c r="G636" t="s">
        <v>2093</v>
      </c>
      <c r="H636" t="s">
        <v>43</v>
      </c>
      <c r="I636">
        <v>1</v>
      </c>
      <c r="K636" t="s">
        <v>2070</v>
      </c>
    </row>
    <row r="637" spans="1:11" x14ac:dyDescent="0.35">
      <c r="A637" t="s">
        <v>2070</v>
      </c>
      <c r="B637" t="s">
        <v>2070</v>
      </c>
      <c r="C637" t="s">
        <v>2071</v>
      </c>
      <c r="D637" t="s">
        <v>2094</v>
      </c>
      <c r="E637" t="s">
        <v>2095</v>
      </c>
      <c r="F637">
        <v>18.04</v>
      </c>
      <c r="G637" t="s">
        <v>2096</v>
      </c>
      <c r="H637" t="s">
        <v>43</v>
      </c>
      <c r="I637">
        <v>1</v>
      </c>
      <c r="K637" t="s">
        <v>2070</v>
      </c>
    </row>
    <row r="638" spans="1:11" x14ac:dyDescent="0.35">
      <c r="A638" t="s">
        <v>2070</v>
      </c>
      <c r="B638" t="s">
        <v>2070</v>
      </c>
      <c r="C638" t="s">
        <v>378</v>
      </c>
      <c r="D638" t="s">
        <v>2097</v>
      </c>
      <c r="E638" t="s">
        <v>2098</v>
      </c>
      <c r="F638">
        <v>12.7</v>
      </c>
      <c r="G638" t="s">
        <v>2099</v>
      </c>
      <c r="H638" t="s">
        <v>43</v>
      </c>
      <c r="I638">
        <v>5</v>
      </c>
      <c r="K638" t="s">
        <v>2070</v>
      </c>
    </row>
    <row r="639" spans="1:11" x14ac:dyDescent="0.35">
      <c r="A639" t="s">
        <v>2070</v>
      </c>
      <c r="B639" t="s">
        <v>2070</v>
      </c>
      <c r="C639" t="s">
        <v>378</v>
      </c>
      <c r="D639" t="s">
        <v>409</v>
      </c>
      <c r="E639" t="s">
        <v>410</v>
      </c>
      <c r="F639">
        <v>17</v>
      </c>
      <c r="G639" t="s">
        <v>2100</v>
      </c>
      <c r="H639" t="s">
        <v>43</v>
      </c>
      <c r="I639">
        <v>1</v>
      </c>
      <c r="K639" t="s">
        <v>2070</v>
      </c>
    </row>
    <row r="640" spans="1:11" x14ac:dyDescent="0.35">
      <c r="A640" t="s">
        <v>2070</v>
      </c>
      <c r="B640" t="s">
        <v>2070</v>
      </c>
      <c r="C640" t="s">
        <v>378</v>
      </c>
      <c r="D640" t="s">
        <v>424</v>
      </c>
      <c r="E640" t="s">
        <v>425</v>
      </c>
      <c r="F640">
        <v>16.66</v>
      </c>
      <c r="G640" t="s">
        <v>2101</v>
      </c>
      <c r="H640" t="s">
        <v>43</v>
      </c>
      <c r="I640">
        <v>5</v>
      </c>
      <c r="K640" t="s">
        <v>2070</v>
      </c>
    </row>
    <row r="641" spans="1:11" x14ac:dyDescent="0.35">
      <c r="A641" t="s">
        <v>2102</v>
      </c>
      <c r="B641" t="s">
        <v>2102</v>
      </c>
      <c r="C641" t="s">
        <v>1674</v>
      </c>
      <c r="D641" t="s">
        <v>1679</v>
      </c>
      <c r="E641" t="s">
        <v>1680</v>
      </c>
      <c r="F641">
        <v>20.04</v>
      </c>
      <c r="G641" t="s">
        <v>2103</v>
      </c>
      <c r="H641" t="s">
        <v>43</v>
      </c>
      <c r="I641">
        <v>35</v>
      </c>
      <c r="J641" t="s">
        <v>2104</v>
      </c>
      <c r="K641" t="s">
        <v>2102</v>
      </c>
    </row>
    <row r="642" spans="1:11" x14ac:dyDescent="0.35">
      <c r="A642" t="s">
        <v>2102</v>
      </c>
      <c r="B642" t="s">
        <v>2102</v>
      </c>
      <c r="C642" t="s">
        <v>1674</v>
      </c>
      <c r="D642" t="s">
        <v>2105</v>
      </c>
      <c r="E642" t="s">
        <v>2106</v>
      </c>
      <c r="F642">
        <v>24.02</v>
      </c>
      <c r="G642" t="s">
        <v>2107</v>
      </c>
      <c r="H642" t="s">
        <v>43</v>
      </c>
      <c r="I642">
        <v>17</v>
      </c>
      <c r="J642" t="s">
        <v>2108</v>
      </c>
      <c r="K642" t="s">
        <v>2102</v>
      </c>
    </row>
    <row r="643" spans="1:11" x14ac:dyDescent="0.35">
      <c r="A643" t="s">
        <v>2102</v>
      </c>
      <c r="B643" t="s">
        <v>2102</v>
      </c>
      <c r="C643" t="s">
        <v>1674</v>
      </c>
      <c r="D643" t="s">
        <v>1675</v>
      </c>
      <c r="E643" t="s">
        <v>1676</v>
      </c>
      <c r="F643">
        <v>19.5</v>
      </c>
      <c r="G643" t="s">
        <v>1768</v>
      </c>
      <c r="H643" t="s">
        <v>43</v>
      </c>
      <c r="I643">
        <v>23</v>
      </c>
      <c r="J643" t="s">
        <v>2109</v>
      </c>
      <c r="K643" t="s">
        <v>2102</v>
      </c>
    </row>
    <row r="644" spans="1:11" x14ac:dyDescent="0.35">
      <c r="A644" t="s">
        <v>2102</v>
      </c>
      <c r="B644" t="s">
        <v>2102</v>
      </c>
      <c r="C644" t="s">
        <v>1674</v>
      </c>
      <c r="D644" t="s">
        <v>2110</v>
      </c>
      <c r="E644" t="s">
        <v>2111</v>
      </c>
      <c r="F644">
        <v>17.68</v>
      </c>
      <c r="G644" t="s">
        <v>2112</v>
      </c>
      <c r="H644" t="s">
        <v>43</v>
      </c>
      <c r="I644">
        <v>9</v>
      </c>
      <c r="J644" t="s">
        <v>2113</v>
      </c>
      <c r="K644" t="s">
        <v>2102</v>
      </c>
    </row>
    <row r="645" spans="1:11" x14ac:dyDescent="0.35">
      <c r="A645" t="s">
        <v>2102</v>
      </c>
      <c r="B645" t="s">
        <v>2102</v>
      </c>
      <c r="C645" t="s">
        <v>1674</v>
      </c>
      <c r="D645" t="s">
        <v>1749</v>
      </c>
      <c r="E645" t="s">
        <v>1750</v>
      </c>
      <c r="F645">
        <v>13.28</v>
      </c>
      <c r="G645" t="s">
        <v>2114</v>
      </c>
      <c r="H645" t="s">
        <v>43</v>
      </c>
      <c r="I645">
        <v>3</v>
      </c>
      <c r="K645" t="s">
        <v>2102</v>
      </c>
    </row>
    <row r="646" spans="1:11" x14ac:dyDescent="0.35">
      <c r="A646" t="s">
        <v>2102</v>
      </c>
      <c r="B646" t="s">
        <v>2102</v>
      </c>
      <c r="C646" t="s">
        <v>1674</v>
      </c>
      <c r="D646" t="s">
        <v>2115</v>
      </c>
      <c r="E646" t="s">
        <v>2116</v>
      </c>
      <c r="F646">
        <v>19.309999999999999</v>
      </c>
      <c r="G646" t="s">
        <v>2117</v>
      </c>
      <c r="H646" t="s">
        <v>43</v>
      </c>
      <c r="I646">
        <v>3</v>
      </c>
      <c r="K646" t="s">
        <v>2102</v>
      </c>
    </row>
    <row r="647" spans="1:11" x14ac:dyDescent="0.35">
      <c r="A647" t="s">
        <v>2102</v>
      </c>
      <c r="B647" t="s">
        <v>2102</v>
      </c>
      <c r="C647" t="s">
        <v>1674</v>
      </c>
      <c r="D647" t="s">
        <v>2118</v>
      </c>
      <c r="E647" t="s">
        <v>2119</v>
      </c>
      <c r="F647">
        <v>40000</v>
      </c>
      <c r="G647" t="s">
        <v>2120</v>
      </c>
      <c r="H647" t="s">
        <v>196</v>
      </c>
      <c r="I647">
        <v>1</v>
      </c>
      <c r="K647" t="s">
        <v>2102</v>
      </c>
    </row>
    <row r="648" spans="1:11" x14ac:dyDescent="0.35">
      <c r="A648" t="s">
        <v>2102</v>
      </c>
      <c r="B648" t="s">
        <v>2102</v>
      </c>
      <c r="C648" t="s">
        <v>1674</v>
      </c>
      <c r="D648" t="s">
        <v>1761</v>
      </c>
      <c r="E648" t="s">
        <v>1762</v>
      </c>
      <c r="F648">
        <v>254143</v>
      </c>
      <c r="G648" t="s">
        <v>2121</v>
      </c>
      <c r="H648" t="s">
        <v>196</v>
      </c>
      <c r="I648">
        <v>1</v>
      </c>
      <c r="K648" t="s">
        <v>2102</v>
      </c>
    </row>
    <row r="649" spans="1:11" x14ac:dyDescent="0.35">
      <c r="A649" t="s">
        <v>2102</v>
      </c>
      <c r="B649" t="s">
        <v>2102</v>
      </c>
      <c r="C649" t="s">
        <v>1674</v>
      </c>
      <c r="D649" t="s">
        <v>2122</v>
      </c>
      <c r="E649" t="s">
        <v>2123</v>
      </c>
      <c r="F649">
        <v>50000</v>
      </c>
      <c r="G649" t="s">
        <v>2124</v>
      </c>
      <c r="H649" t="s">
        <v>196</v>
      </c>
      <c r="I649">
        <v>1</v>
      </c>
      <c r="K649" t="s">
        <v>2102</v>
      </c>
    </row>
    <row r="650" spans="1:11" x14ac:dyDescent="0.35">
      <c r="A650" t="s">
        <v>2102</v>
      </c>
      <c r="B650" t="s">
        <v>2102</v>
      </c>
      <c r="C650" t="s">
        <v>235</v>
      </c>
      <c r="D650" t="s">
        <v>244</v>
      </c>
      <c r="E650" t="s">
        <v>245</v>
      </c>
      <c r="F650">
        <v>108342</v>
      </c>
      <c r="G650" t="s">
        <v>2125</v>
      </c>
      <c r="H650" t="s">
        <v>196</v>
      </c>
      <c r="I650">
        <v>9</v>
      </c>
      <c r="J650" t="s">
        <v>2126</v>
      </c>
      <c r="K650" t="s">
        <v>2102</v>
      </c>
    </row>
    <row r="651" spans="1:11" x14ac:dyDescent="0.35">
      <c r="A651" t="s">
        <v>2127</v>
      </c>
      <c r="B651" t="s">
        <v>2128</v>
      </c>
      <c r="C651" t="s">
        <v>1588</v>
      </c>
      <c r="D651" t="s">
        <v>2129</v>
      </c>
      <c r="E651" t="s">
        <v>2130</v>
      </c>
      <c r="F651">
        <v>91467</v>
      </c>
      <c r="G651" t="s">
        <v>2131</v>
      </c>
      <c r="H651" t="s">
        <v>196</v>
      </c>
      <c r="I651">
        <v>16</v>
      </c>
      <c r="J651" t="s">
        <v>2132</v>
      </c>
      <c r="K651" t="s">
        <v>2128</v>
      </c>
    </row>
    <row r="652" spans="1:11" x14ac:dyDescent="0.35">
      <c r="A652" t="s">
        <v>2127</v>
      </c>
      <c r="B652" t="s">
        <v>2128</v>
      </c>
      <c r="C652" t="s">
        <v>1588</v>
      </c>
      <c r="D652" t="s">
        <v>2133</v>
      </c>
      <c r="E652" t="s">
        <v>2134</v>
      </c>
      <c r="F652">
        <v>48173</v>
      </c>
      <c r="G652" t="s">
        <v>2135</v>
      </c>
      <c r="H652" t="s">
        <v>196</v>
      </c>
      <c r="I652">
        <v>11</v>
      </c>
      <c r="J652" t="s">
        <v>2136</v>
      </c>
      <c r="K652" t="s">
        <v>2128</v>
      </c>
    </row>
    <row r="653" spans="1:11" x14ac:dyDescent="0.35">
      <c r="A653" t="s">
        <v>2127</v>
      </c>
      <c r="B653" t="s">
        <v>2128</v>
      </c>
      <c r="C653" t="s">
        <v>1588</v>
      </c>
      <c r="D653" t="s">
        <v>2137</v>
      </c>
      <c r="E653" t="s">
        <v>2138</v>
      </c>
      <c r="F653">
        <v>28.46</v>
      </c>
      <c r="G653" t="s">
        <v>2139</v>
      </c>
      <c r="H653" t="s">
        <v>43</v>
      </c>
      <c r="I653">
        <v>4</v>
      </c>
      <c r="K653" t="s">
        <v>2128</v>
      </c>
    </row>
    <row r="654" spans="1:11" x14ac:dyDescent="0.35">
      <c r="A654" t="s">
        <v>2127</v>
      </c>
      <c r="B654" t="s">
        <v>2128</v>
      </c>
      <c r="C654" t="s">
        <v>1588</v>
      </c>
      <c r="D654" t="s">
        <v>2140</v>
      </c>
      <c r="E654" t="s">
        <v>2141</v>
      </c>
      <c r="F654">
        <v>177050</v>
      </c>
      <c r="G654" t="s">
        <v>2142</v>
      </c>
      <c r="H654" t="s">
        <v>196</v>
      </c>
      <c r="I654">
        <v>3</v>
      </c>
      <c r="K654" t="s">
        <v>2128</v>
      </c>
    </row>
    <row r="655" spans="1:11" x14ac:dyDescent="0.35">
      <c r="A655" t="s">
        <v>2127</v>
      </c>
      <c r="B655" t="s">
        <v>2128</v>
      </c>
      <c r="C655" t="s">
        <v>235</v>
      </c>
      <c r="D655" t="s">
        <v>1794</v>
      </c>
      <c r="E655" t="s">
        <v>1795</v>
      </c>
      <c r="F655">
        <v>81456</v>
      </c>
      <c r="G655" t="s">
        <v>2143</v>
      </c>
      <c r="H655" t="s">
        <v>196</v>
      </c>
      <c r="I655">
        <v>10</v>
      </c>
      <c r="J655" t="s">
        <v>2144</v>
      </c>
      <c r="K655" t="s">
        <v>2128</v>
      </c>
    </row>
    <row r="656" spans="1:11" x14ac:dyDescent="0.35">
      <c r="A656" t="s">
        <v>2127</v>
      </c>
      <c r="B656" t="s">
        <v>2128</v>
      </c>
      <c r="C656" t="s">
        <v>235</v>
      </c>
      <c r="D656" t="s">
        <v>2145</v>
      </c>
      <c r="E656" t="s">
        <v>2146</v>
      </c>
      <c r="F656">
        <v>83455</v>
      </c>
      <c r="G656" t="s">
        <v>2147</v>
      </c>
      <c r="H656" t="s">
        <v>196</v>
      </c>
      <c r="I656">
        <v>7</v>
      </c>
      <c r="J656" t="s">
        <v>2148</v>
      </c>
      <c r="K656" t="s">
        <v>2128</v>
      </c>
    </row>
    <row r="657" spans="1:11" x14ac:dyDescent="0.35">
      <c r="A657" t="s">
        <v>2127</v>
      </c>
      <c r="B657" t="s">
        <v>2128</v>
      </c>
      <c r="C657" t="s">
        <v>235</v>
      </c>
      <c r="D657" t="s">
        <v>2149</v>
      </c>
      <c r="E657" t="s">
        <v>2150</v>
      </c>
      <c r="F657">
        <v>369439</v>
      </c>
      <c r="G657" t="s">
        <v>2151</v>
      </c>
      <c r="H657" t="s">
        <v>196</v>
      </c>
      <c r="I657">
        <v>4</v>
      </c>
      <c r="K657" t="s">
        <v>2128</v>
      </c>
    </row>
    <row r="658" spans="1:11" x14ac:dyDescent="0.35">
      <c r="A658" t="s">
        <v>2127</v>
      </c>
      <c r="B658" t="s">
        <v>2128</v>
      </c>
      <c r="C658" t="s">
        <v>235</v>
      </c>
      <c r="D658" t="s">
        <v>252</v>
      </c>
      <c r="E658" t="s">
        <v>253</v>
      </c>
      <c r="F658">
        <v>170593</v>
      </c>
      <c r="G658" t="s">
        <v>2152</v>
      </c>
      <c r="H658" t="s">
        <v>196</v>
      </c>
      <c r="I658">
        <v>4</v>
      </c>
      <c r="K658" t="s">
        <v>2128</v>
      </c>
    </row>
    <row r="659" spans="1:11" x14ac:dyDescent="0.35">
      <c r="A659" t="s">
        <v>2127</v>
      </c>
      <c r="B659" t="s">
        <v>2128</v>
      </c>
      <c r="C659" t="s">
        <v>235</v>
      </c>
      <c r="D659" t="s">
        <v>890</v>
      </c>
      <c r="E659" t="s">
        <v>891</v>
      </c>
      <c r="F659">
        <v>152881</v>
      </c>
      <c r="G659" t="s">
        <v>2153</v>
      </c>
      <c r="H659" t="s">
        <v>196</v>
      </c>
      <c r="I659">
        <v>4</v>
      </c>
      <c r="K659" t="s">
        <v>2128</v>
      </c>
    </row>
    <row r="660" spans="1:11" x14ac:dyDescent="0.35">
      <c r="A660" t="s">
        <v>2127</v>
      </c>
      <c r="B660" t="s">
        <v>2128</v>
      </c>
      <c r="C660" t="s">
        <v>235</v>
      </c>
      <c r="D660" t="s">
        <v>244</v>
      </c>
      <c r="E660" t="s">
        <v>245</v>
      </c>
      <c r="F660">
        <v>111204</v>
      </c>
      <c r="G660" t="s">
        <v>2154</v>
      </c>
      <c r="H660" t="s">
        <v>196</v>
      </c>
      <c r="I660">
        <v>3</v>
      </c>
      <c r="K660" t="s">
        <v>2128</v>
      </c>
    </row>
    <row r="661" spans="1:11" x14ac:dyDescent="0.35">
      <c r="A661" t="s">
        <v>2155</v>
      </c>
      <c r="B661" t="s">
        <v>2155</v>
      </c>
      <c r="C661" t="s">
        <v>1085</v>
      </c>
      <c r="D661" t="s">
        <v>1098</v>
      </c>
      <c r="E661" t="s">
        <v>1099</v>
      </c>
      <c r="F661">
        <v>12.19</v>
      </c>
      <c r="G661" t="s">
        <v>2156</v>
      </c>
      <c r="H661" t="s">
        <v>43</v>
      </c>
      <c r="I661">
        <v>3216</v>
      </c>
      <c r="J661" t="s">
        <v>2157</v>
      </c>
      <c r="K661" t="s">
        <v>2155</v>
      </c>
    </row>
    <row r="662" spans="1:11" x14ac:dyDescent="0.35">
      <c r="A662" t="s">
        <v>2155</v>
      </c>
      <c r="B662" t="s">
        <v>2155</v>
      </c>
      <c r="C662" t="s">
        <v>1085</v>
      </c>
      <c r="D662" t="s">
        <v>2158</v>
      </c>
      <c r="E662" t="s">
        <v>2159</v>
      </c>
      <c r="F662">
        <v>17.32</v>
      </c>
      <c r="G662" t="s">
        <v>77</v>
      </c>
      <c r="H662" t="s">
        <v>43</v>
      </c>
      <c r="I662">
        <v>109</v>
      </c>
      <c r="J662" t="s">
        <v>2160</v>
      </c>
      <c r="K662" t="s">
        <v>2155</v>
      </c>
    </row>
    <row r="663" spans="1:11" x14ac:dyDescent="0.35">
      <c r="A663" t="s">
        <v>2155</v>
      </c>
      <c r="B663" t="s">
        <v>2155</v>
      </c>
      <c r="C663" t="s">
        <v>1085</v>
      </c>
      <c r="D663" t="s">
        <v>2161</v>
      </c>
      <c r="E663" t="s">
        <v>2162</v>
      </c>
      <c r="F663">
        <v>11.68</v>
      </c>
      <c r="G663" t="s">
        <v>2163</v>
      </c>
      <c r="H663" t="s">
        <v>43</v>
      </c>
      <c r="I663">
        <v>65</v>
      </c>
      <c r="J663" t="s">
        <v>2164</v>
      </c>
      <c r="K663" t="s">
        <v>2155</v>
      </c>
    </row>
    <row r="664" spans="1:11" x14ac:dyDescent="0.35">
      <c r="A664" t="s">
        <v>2155</v>
      </c>
      <c r="B664" t="s">
        <v>2155</v>
      </c>
      <c r="C664" t="s">
        <v>1085</v>
      </c>
      <c r="D664" t="s">
        <v>2165</v>
      </c>
      <c r="E664" t="s">
        <v>2166</v>
      </c>
      <c r="F664">
        <v>17.32</v>
      </c>
      <c r="G664" t="s">
        <v>77</v>
      </c>
      <c r="H664" t="s">
        <v>43</v>
      </c>
      <c r="I664">
        <v>50</v>
      </c>
      <c r="J664" t="s">
        <v>2167</v>
      </c>
      <c r="K664" t="s">
        <v>2155</v>
      </c>
    </row>
    <row r="665" spans="1:11" x14ac:dyDescent="0.35">
      <c r="A665" t="s">
        <v>2155</v>
      </c>
      <c r="B665" t="s">
        <v>2155</v>
      </c>
      <c r="C665" t="s">
        <v>1085</v>
      </c>
      <c r="D665" t="s">
        <v>1615</v>
      </c>
      <c r="E665" t="s">
        <v>1616</v>
      </c>
      <c r="F665">
        <v>12.07</v>
      </c>
      <c r="G665" t="s">
        <v>2168</v>
      </c>
      <c r="H665" t="s">
        <v>43</v>
      </c>
      <c r="I665">
        <v>5</v>
      </c>
      <c r="K665" t="s">
        <v>2155</v>
      </c>
    </row>
    <row r="666" spans="1:11" x14ac:dyDescent="0.35">
      <c r="A666" t="s">
        <v>2155</v>
      </c>
      <c r="B666" t="s">
        <v>2155</v>
      </c>
      <c r="C666" t="s">
        <v>1085</v>
      </c>
      <c r="D666" t="s">
        <v>2169</v>
      </c>
      <c r="E666" t="s">
        <v>2170</v>
      </c>
      <c r="F666">
        <v>11.81</v>
      </c>
      <c r="G666" t="s">
        <v>2171</v>
      </c>
      <c r="H666" t="s">
        <v>43</v>
      </c>
      <c r="I666">
        <v>5</v>
      </c>
      <c r="K666" t="s">
        <v>2155</v>
      </c>
    </row>
    <row r="667" spans="1:11" x14ac:dyDescent="0.35">
      <c r="A667" t="s">
        <v>2155</v>
      </c>
      <c r="B667" t="s">
        <v>2155</v>
      </c>
      <c r="C667" t="s">
        <v>1085</v>
      </c>
      <c r="D667" t="s">
        <v>1408</v>
      </c>
      <c r="E667" t="s">
        <v>1409</v>
      </c>
      <c r="F667">
        <v>11.19</v>
      </c>
      <c r="G667" t="s">
        <v>2172</v>
      </c>
      <c r="H667" t="s">
        <v>43</v>
      </c>
      <c r="I667">
        <v>2</v>
      </c>
      <c r="K667" t="s">
        <v>2155</v>
      </c>
    </row>
    <row r="668" spans="1:11" x14ac:dyDescent="0.35">
      <c r="A668" t="s">
        <v>2155</v>
      </c>
      <c r="B668" t="s">
        <v>2155</v>
      </c>
      <c r="C668" t="s">
        <v>1085</v>
      </c>
      <c r="D668" t="s">
        <v>2173</v>
      </c>
      <c r="E668" t="s">
        <v>2174</v>
      </c>
      <c r="F668">
        <v>15.52</v>
      </c>
      <c r="G668" t="s">
        <v>2175</v>
      </c>
      <c r="H668" t="s">
        <v>43</v>
      </c>
      <c r="I668">
        <v>2</v>
      </c>
      <c r="K668" t="s">
        <v>2155</v>
      </c>
    </row>
    <row r="669" spans="1:11" x14ac:dyDescent="0.35">
      <c r="A669" t="s">
        <v>2155</v>
      </c>
      <c r="B669" t="s">
        <v>2155</v>
      </c>
      <c r="C669" t="s">
        <v>1085</v>
      </c>
      <c r="D669" t="s">
        <v>2176</v>
      </c>
      <c r="E669" t="s">
        <v>2177</v>
      </c>
      <c r="F669">
        <v>64809</v>
      </c>
      <c r="G669" t="s">
        <v>229</v>
      </c>
      <c r="H669" t="s">
        <v>196</v>
      </c>
      <c r="I669">
        <v>1</v>
      </c>
      <c r="K669" t="s">
        <v>2155</v>
      </c>
    </row>
    <row r="670" spans="1:11" x14ac:dyDescent="0.35">
      <c r="A670" t="s">
        <v>2155</v>
      </c>
      <c r="B670" t="s">
        <v>2155</v>
      </c>
      <c r="C670" t="s">
        <v>158</v>
      </c>
      <c r="D670" t="s">
        <v>2178</v>
      </c>
      <c r="E670" t="s">
        <v>2179</v>
      </c>
      <c r="F670">
        <v>13.98</v>
      </c>
      <c r="G670" t="s">
        <v>2180</v>
      </c>
      <c r="H670" t="s">
        <v>43</v>
      </c>
      <c r="I670">
        <v>939</v>
      </c>
      <c r="J670" t="s">
        <v>2181</v>
      </c>
      <c r="K670" t="s">
        <v>2155</v>
      </c>
    </row>
    <row r="671" spans="1:11" x14ac:dyDescent="0.35">
      <c r="A671" t="s">
        <v>2182</v>
      </c>
      <c r="B671" t="s">
        <v>2182</v>
      </c>
      <c r="C671" t="s">
        <v>80</v>
      </c>
      <c r="D671" t="s">
        <v>85</v>
      </c>
      <c r="E671" t="s">
        <v>86</v>
      </c>
      <c r="F671">
        <v>15.49</v>
      </c>
      <c r="G671" t="s">
        <v>287</v>
      </c>
      <c r="H671" t="s">
        <v>43</v>
      </c>
      <c r="I671">
        <v>293</v>
      </c>
      <c r="J671" t="s">
        <v>2183</v>
      </c>
      <c r="K671" t="s">
        <v>2182</v>
      </c>
    </row>
    <row r="672" spans="1:11" x14ac:dyDescent="0.35">
      <c r="A672" t="s">
        <v>2182</v>
      </c>
      <c r="B672" t="s">
        <v>2182</v>
      </c>
      <c r="C672" t="s">
        <v>80</v>
      </c>
      <c r="D672" t="s">
        <v>89</v>
      </c>
      <c r="E672" t="s">
        <v>90</v>
      </c>
      <c r="F672">
        <v>111244</v>
      </c>
      <c r="G672" t="s">
        <v>2184</v>
      </c>
      <c r="H672" t="s">
        <v>196</v>
      </c>
      <c r="I672">
        <v>10</v>
      </c>
      <c r="J672" t="s">
        <v>2185</v>
      </c>
      <c r="K672" t="s">
        <v>2182</v>
      </c>
    </row>
    <row r="673" spans="1:11" x14ac:dyDescent="0.35">
      <c r="A673" t="s">
        <v>2182</v>
      </c>
      <c r="B673" t="s">
        <v>2182</v>
      </c>
      <c r="C673" t="s">
        <v>80</v>
      </c>
      <c r="D673" t="s">
        <v>2186</v>
      </c>
      <c r="E673" t="s">
        <v>2187</v>
      </c>
      <c r="F673">
        <v>16.48</v>
      </c>
      <c r="G673" t="s">
        <v>2188</v>
      </c>
      <c r="H673" t="s">
        <v>43</v>
      </c>
      <c r="I673">
        <v>20</v>
      </c>
      <c r="J673" t="s">
        <v>2189</v>
      </c>
      <c r="K673" t="s">
        <v>2182</v>
      </c>
    </row>
    <row r="674" spans="1:11" x14ac:dyDescent="0.35">
      <c r="A674" t="s">
        <v>2182</v>
      </c>
      <c r="B674" t="s">
        <v>2182</v>
      </c>
      <c r="C674" t="s">
        <v>80</v>
      </c>
      <c r="D674" t="s">
        <v>2190</v>
      </c>
      <c r="E674" t="s">
        <v>2191</v>
      </c>
      <c r="F674">
        <v>90940</v>
      </c>
      <c r="G674" t="s">
        <v>2192</v>
      </c>
      <c r="H674" t="s">
        <v>196</v>
      </c>
      <c r="I674">
        <v>15</v>
      </c>
      <c r="J674" t="s">
        <v>2193</v>
      </c>
      <c r="K674" t="s">
        <v>2182</v>
      </c>
    </row>
    <row r="675" spans="1:11" x14ac:dyDescent="0.35">
      <c r="A675" t="s">
        <v>2182</v>
      </c>
      <c r="B675" t="s">
        <v>2182</v>
      </c>
      <c r="C675" t="s">
        <v>80</v>
      </c>
      <c r="D675" t="s">
        <v>2194</v>
      </c>
      <c r="E675" t="s">
        <v>2195</v>
      </c>
      <c r="F675">
        <v>22.91</v>
      </c>
      <c r="G675" t="s">
        <v>1629</v>
      </c>
      <c r="H675" t="s">
        <v>43</v>
      </c>
      <c r="I675">
        <v>4</v>
      </c>
      <c r="K675" t="s">
        <v>2182</v>
      </c>
    </row>
    <row r="676" spans="1:11" x14ac:dyDescent="0.35">
      <c r="A676" t="s">
        <v>2182</v>
      </c>
      <c r="B676" t="s">
        <v>2182</v>
      </c>
      <c r="C676" t="s">
        <v>80</v>
      </c>
      <c r="D676" t="s">
        <v>2196</v>
      </c>
      <c r="E676" t="s">
        <v>2197</v>
      </c>
      <c r="F676">
        <v>92708</v>
      </c>
      <c r="G676" t="s">
        <v>2198</v>
      </c>
      <c r="H676" t="s">
        <v>196</v>
      </c>
      <c r="I676">
        <v>5</v>
      </c>
      <c r="K676" t="s">
        <v>2182</v>
      </c>
    </row>
    <row r="677" spans="1:11" x14ac:dyDescent="0.35">
      <c r="A677" t="s">
        <v>2182</v>
      </c>
      <c r="B677" t="s">
        <v>2182</v>
      </c>
      <c r="C677" t="s">
        <v>80</v>
      </c>
      <c r="D677" t="s">
        <v>2199</v>
      </c>
      <c r="E677" t="s">
        <v>2200</v>
      </c>
      <c r="F677">
        <v>32.33</v>
      </c>
      <c r="G677" t="s">
        <v>2201</v>
      </c>
      <c r="H677" t="s">
        <v>43</v>
      </c>
      <c r="I677">
        <v>1</v>
      </c>
      <c r="K677" t="s">
        <v>2182</v>
      </c>
    </row>
    <row r="678" spans="1:11" x14ac:dyDescent="0.35">
      <c r="A678" t="s">
        <v>2182</v>
      </c>
      <c r="B678" t="s">
        <v>2182</v>
      </c>
      <c r="C678" t="s">
        <v>80</v>
      </c>
      <c r="D678" t="s">
        <v>2202</v>
      </c>
      <c r="E678" t="s">
        <v>2203</v>
      </c>
      <c r="F678">
        <v>89455</v>
      </c>
      <c r="G678" t="s">
        <v>2204</v>
      </c>
      <c r="H678" t="s">
        <v>196</v>
      </c>
      <c r="I678">
        <v>2</v>
      </c>
      <c r="K678" t="s">
        <v>2182</v>
      </c>
    </row>
    <row r="679" spans="1:11" x14ac:dyDescent="0.35">
      <c r="A679" t="s">
        <v>2182</v>
      </c>
      <c r="B679" t="s">
        <v>2182</v>
      </c>
      <c r="C679" t="s">
        <v>80</v>
      </c>
      <c r="D679" t="s">
        <v>2205</v>
      </c>
      <c r="E679" t="s">
        <v>2206</v>
      </c>
      <c r="F679">
        <v>181536</v>
      </c>
      <c r="G679" t="s">
        <v>2207</v>
      </c>
      <c r="H679" t="s">
        <v>196</v>
      </c>
      <c r="I679">
        <v>1</v>
      </c>
      <c r="K679" t="s">
        <v>2182</v>
      </c>
    </row>
    <row r="680" spans="1:11" x14ac:dyDescent="0.35">
      <c r="A680" t="s">
        <v>2182</v>
      </c>
      <c r="B680" t="s">
        <v>2182</v>
      </c>
      <c r="C680" t="s">
        <v>544</v>
      </c>
      <c r="D680" t="s">
        <v>545</v>
      </c>
      <c r="E680" t="s">
        <v>546</v>
      </c>
      <c r="F680">
        <v>170152</v>
      </c>
      <c r="G680" t="s">
        <v>2208</v>
      </c>
      <c r="H680" t="s">
        <v>196</v>
      </c>
      <c r="I680">
        <v>80</v>
      </c>
      <c r="J680" t="s">
        <v>2209</v>
      </c>
      <c r="K680" t="s">
        <v>2182</v>
      </c>
    </row>
    <row r="681" spans="1:11" x14ac:dyDescent="0.35">
      <c r="A681" t="s">
        <v>2210</v>
      </c>
      <c r="B681" t="s">
        <v>2210</v>
      </c>
      <c r="C681" t="s">
        <v>378</v>
      </c>
      <c r="D681" t="s">
        <v>387</v>
      </c>
      <c r="E681" t="s">
        <v>388</v>
      </c>
      <c r="F681">
        <v>64093</v>
      </c>
      <c r="G681" t="s">
        <v>2211</v>
      </c>
      <c r="H681" t="s">
        <v>196</v>
      </c>
      <c r="I681">
        <v>10</v>
      </c>
      <c r="J681" t="s">
        <v>2212</v>
      </c>
      <c r="K681" t="s">
        <v>2210</v>
      </c>
    </row>
    <row r="682" spans="1:11" x14ac:dyDescent="0.35">
      <c r="A682" t="s">
        <v>2210</v>
      </c>
      <c r="B682" t="s">
        <v>2210</v>
      </c>
      <c r="C682" t="s">
        <v>378</v>
      </c>
      <c r="D682" t="s">
        <v>460</v>
      </c>
      <c r="E682" t="s">
        <v>461</v>
      </c>
      <c r="F682">
        <v>38647</v>
      </c>
      <c r="G682" t="s">
        <v>2213</v>
      </c>
      <c r="H682" t="s">
        <v>196</v>
      </c>
      <c r="I682">
        <v>10</v>
      </c>
      <c r="J682" t="s">
        <v>2214</v>
      </c>
      <c r="K682" t="s">
        <v>2210</v>
      </c>
    </row>
    <row r="683" spans="1:11" x14ac:dyDescent="0.35">
      <c r="A683" t="s">
        <v>2210</v>
      </c>
      <c r="B683" t="s">
        <v>2210</v>
      </c>
      <c r="C683" t="s">
        <v>378</v>
      </c>
      <c r="D683" t="s">
        <v>1827</v>
      </c>
      <c r="E683" t="s">
        <v>1828</v>
      </c>
      <c r="F683">
        <v>52309</v>
      </c>
      <c r="G683" t="s">
        <v>2215</v>
      </c>
      <c r="H683" t="s">
        <v>196</v>
      </c>
      <c r="I683">
        <v>7</v>
      </c>
      <c r="J683" t="s">
        <v>2216</v>
      </c>
      <c r="K683" t="s">
        <v>2210</v>
      </c>
    </row>
    <row r="684" spans="1:11" x14ac:dyDescent="0.35">
      <c r="A684" t="s">
        <v>2210</v>
      </c>
      <c r="B684" t="s">
        <v>2210</v>
      </c>
      <c r="C684" t="s">
        <v>378</v>
      </c>
      <c r="D684" t="s">
        <v>2217</v>
      </c>
      <c r="E684" t="s">
        <v>2218</v>
      </c>
      <c r="F684">
        <v>146614</v>
      </c>
      <c r="G684" t="s">
        <v>2219</v>
      </c>
      <c r="H684" t="s">
        <v>196</v>
      </c>
      <c r="I684">
        <v>4</v>
      </c>
      <c r="K684" t="s">
        <v>2210</v>
      </c>
    </row>
    <row r="685" spans="1:11" x14ac:dyDescent="0.35">
      <c r="A685" t="s">
        <v>2210</v>
      </c>
      <c r="B685" t="s">
        <v>2210</v>
      </c>
      <c r="C685" t="s">
        <v>378</v>
      </c>
      <c r="D685" t="s">
        <v>413</v>
      </c>
      <c r="E685" t="s">
        <v>414</v>
      </c>
      <c r="F685">
        <v>222400</v>
      </c>
      <c r="G685" t="s">
        <v>2220</v>
      </c>
      <c r="H685" t="s">
        <v>196</v>
      </c>
      <c r="I685">
        <v>3</v>
      </c>
      <c r="K685" t="s">
        <v>2210</v>
      </c>
    </row>
    <row r="686" spans="1:11" x14ac:dyDescent="0.35">
      <c r="A686" t="s">
        <v>2210</v>
      </c>
      <c r="B686" t="s">
        <v>2210</v>
      </c>
      <c r="C686" t="s">
        <v>378</v>
      </c>
      <c r="D686" t="s">
        <v>397</v>
      </c>
      <c r="E686" t="s">
        <v>398</v>
      </c>
      <c r="F686">
        <v>101132</v>
      </c>
      <c r="G686" t="s">
        <v>2221</v>
      </c>
      <c r="H686" t="s">
        <v>196</v>
      </c>
      <c r="I686">
        <v>2</v>
      </c>
      <c r="K686" t="s">
        <v>2210</v>
      </c>
    </row>
    <row r="687" spans="1:11" x14ac:dyDescent="0.35">
      <c r="A687" t="s">
        <v>2210</v>
      </c>
      <c r="B687" t="s">
        <v>2210</v>
      </c>
      <c r="C687" t="s">
        <v>378</v>
      </c>
      <c r="D687" t="s">
        <v>2222</v>
      </c>
      <c r="E687" t="s">
        <v>2223</v>
      </c>
      <c r="F687">
        <v>288169</v>
      </c>
      <c r="G687" t="s">
        <v>2224</v>
      </c>
      <c r="H687" t="s">
        <v>196</v>
      </c>
      <c r="I687">
        <v>2</v>
      </c>
      <c r="K687" t="s">
        <v>2210</v>
      </c>
    </row>
    <row r="688" spans="1:11" x14ac:dyDescent="0.35">
      <c r="A688" t="s">
        <v>2210</v>
      </c>
      <c r="B688" t="s">
        <v>2210</v>
      </c>
      <c r="C688" t="s">
        <v>378</v>
      </c>
      <c r="D688" t="s">
        <v>2225</v>
      </c>
      <c r="E688" t="s">
        <v>2226</v>
      </c>
      <c r="F688">
        <v>88793</v>
      </c>
      <c r="G688" t="s">
        <v>2227</v>
      </c>
      <c r="H688" t="s">
        <v>196</v>
      </c>
      <c r="I688">
        <v>2</v>
      </c>
      <c r="K688" t="s">
        <v>2210</v>
      </c>
    </row>
    <row r="689" spans="1:11" x14ac:dyDescent="0.35">
      <c r="A689" t="s">
        <v>2210</v>
      </c>
      <c r="B689" t="s">
        <v>2210</v>
      </c>
      <c r="C689" t="s">
        <v>378</v>
      </c>
      <c r="D689" t="s">
        <v>2228</v>
      </c>
      <c r="E689" t="s">
        <v>2229</v>
      </c>
      <c r="F689">
        <v>200514</v>
      </c>
      <c r="G689" t="s">
        <v>2230</v>
      </c>
      <c r="H689" t="s">
        <v>196</v>
      </c>
      <c r="I689">
        <v>1</v>
      </c>
      <c r="K689" t="s">
        <v>2210</v>
      </c>
    </row>
    <row r="690" spans="1:11" x14ac:dyDescent="0.35">
      <c r="A690" t="s">
        <v>2210</v>
      </c>
      <c r="B690" t="s">
        <v>2210</v>
      </c>
      <c r="C690" t="s">
        <v>378</v>
      </c>
      <c r="D690" t="s">
        <v>2231</v>
      </c>
      <c r="E690" t="s">
        <v>2232</v>
      </c>
      <c r="F690">
        <v>423415</v>
      </c>
      <c r="G690" t="s">
        <v>2233</v>
      </c>
      <c r="H690" t="s">
        <v>196</v>
      </c>
      <c r="I690">
        <v>1</v>
      </c>
      <c r="K690" t="s">
        <v>2210</v>
      </c>
    </row>
    <row r="691" spans="1:11" x14ac:dyDescent="0.35">
      <c r="A691" t="s">
        <v>2234</v>
      </c>
      <c r="B691" t="s">
        <v>2234</v>
      </c>
      <c r="C691" t="s">
        <v>235</v>
      </c>
      <c r="D691" t="s">
        <v>248</v>
      </c>
      <c r="E691" t="s">
        <v>249</v>
      </c>
      <c r="F691">
        <v>222382</v>
      </c>
      <c r="G691" t="s">
        <v>2235</v>
      </c>
      <c r="H691" t="s">
        <v>196</v>
      </c>
      <c r="I691">
        <v>6</v>
      </c>
      <c r="J691" t="s">
        <v>2236</v>
      </c>
      <c r="K691" t="s">
        <v>2234</v>
      </c>
    </row>
    <row r="692" spans="1:11" x14ac:dyDescent="0.35">
      <c r="A692" t="s">
        <v>2234</v>
      </c>
      <c r="B692" t="s">
        <v>2234</v>
      </c>
      <c r="C692" t="s">
        <v>235</v>
      </c>
      <c r="D692" t="s">
        <v>236</v>
      </c>
      <c r="E692" t="s">
        <v>237</v>
      </c>
      <c r="F692">
        <v>179512</v>
      </c>
      <c r="G692" t="s">
        <v>2237</v>
      </c>
      <c r="H692" t="s">
        <v>196</v>
      </c>
      <c r="I692">
        <v>6</v>
      </c>
      <c r="J692" t="s">
        <v>2238</v>
      </c>
      <c r="K692" t="s">
        <v>2234</v>
      </c>
    </row>
    <row r="693" spans="1:11" x14ac:dyDescent="0.35">
      <c r="A693" t="s">
        <v>2234</v>
      </c>
      <c r="B693" t="s">
        <v>2234</v>
      </c>
      <c r="C693" t="s">
        <v>235</v>
      </c>
      <c r="D693" t="s">
        <v>252</v>
      </c>
      <c r="E693" t="s">
        <v>253</v>
      </c>
      <c r="F693">
        <v>308137</v>
      </c>
      <c r="G693" t="s">
        <v>2239</v>
      </c>
      <c r="H693" t="s">
        <v>196</v>
      </c>
      <c r="I693">
        <v>3</v>
      </c>
      <c r="K693" t="s">
        <v>2234</v>
      </c>
    </row>
    <row r="694" spans="1:11" x14ac:dyDescent="0.35">
      <c r="A694" t="s">
        <v>2234</v>
      </c>
      <c r="B694" t="s">
        <v>2234</v>
      </c>
      <c r="C694" t="s">
        <v>235</v>
      </c>
      <c r="D694" t="s">
        <v>866</v>
      </c>
      <c r="E694" t="s">
        <v>867</v>
      </c>
      <c r="F694">
        <v>16949</v>
      </c>
      <c r="G694" t="s">
        <v>2240</v>
      </c>
      <c r="H694" t="s">
        <v>774</v>
      </c>
      <c r="I694">
        <v>1</v>
      </c>
      <c r="K694" t="s">
        <v>2234</v>
      </c>
    </row>
    <row r="695" spans="1:11" x14ac:dyDescent="0.35">
      <c r="A695" t="s">
        <v>2234</v>
      </c>
      <c r="B695" t="s">
        <v>2234</v>
      </c>
      <c r="C695" t="s">
        <v>235</v>
      </c>
      <c r="D695" t="s">
        <v>1794</v>
      </c>
      <c r="E695" t="s">
        <v>1795</v>
      </c>
      <c r="F695">
        <v>17788</v>
      </c>
      <c r="G695" t="s">
        <v>2241</v>
      </c>
      <c r="H695" t="s">
        <v>774</v>
      </c>
      <c r="I695">
        <v>1</v>
      </c>
      <c r="K695" t="s">
        <v>2234</v>
      </c>
    </row>
    <row r="696" spans="1:11" x14ac:dyDescent="0.35">
      <c r="A696" t="s">
        <v>2234</v>
      </c>
      <c r="B696" t="s">
        <v>2234</v>
      </c>
      <c r="C696" t="s">
        <v>504</v>
      </c>
      <c r="D696" t="s">
        <v>505</v>
      </c>
      <c r="E696" t="s">
        <v>506</v>
      </c>
      <c r="F696">
        <v>168937</v>
      </c>
      <c r="G696" t="s">
        <v>2242</v>
      </c>
      <c r="H696" t="s">
        <v>196</v>
      </c>
      <c r="I696">
        <v>7</v>
      </c>
      <c r="J696" t="s">
        <v>2243</v>
      </c>
      <c r="K696" t="s">
        <v>2234</v>
      </c>
    </row>
    <row r="697" spans="1:11" x14ac:dyDescent="0.35">
      <c r="A697" t="s">
        <v>2234</v>
      </c>
      <c r="B697" t="s">
        <v>2234</v>
      </c>
      <c r="C697" t="s">
        <v>504</v>
      </c>
      <c r="D697" t="s">
        <v>2244</v>
      </c>
      <c r="E697" t="s">
        <v>2245</v>
      </c>
      <c r="F697">
        <v>169006</v>
      </c>
      <c r="G697" t="s">
        <v>2246</v>
      </c>
      <c r="H697" t="s">
        <v>196</v>
      </c>
      <c r="I697">
        <v>6</v>
      </c>
      <c r="J697" t="s">
        <v>2247</v>
      </c>
      <c r="K697" t="s">
        <v>2234</v>
      </c>
    </row>
    <row r="698" spans="1:11" x14ac:dyDescent="0.35">
      <c r="A698" t="s">
        <v>2234</v>
      </c>
      <c r="B698" t="s">
        <v>2234</v>
      </c>
      <c r="C698" t="s">
        <v>1144</v>
      </c>
      <c r="D698" t="s">
        <v>1157</v>
      </c>
      <c r="E698" t="s">
        <v>1158</v>
      </c>
      <c r="F698">
        <v>210356</v>
      </c>
      <c r="G698" t="s">
        <v>2248</v>
      </c>
      <c r="H698" t="s">
        <v>196</v>
      </c>
      <c r="I698">
        <v>8</v>
      </c>
      <c r="J698" t="s">
        <v>2249</v>
      </c>
      <c r="K698" t="s">
        <v>2234</v>
      </c>
    </row>
    <row r="699" spans="1:11" x14ac:dyDescent="0.35">
      <c r="A699" t="s">
        <v>2234</v>
      </c>
      <c r="B699" t="s">
        <v>2234</v>
      </c>
      <c r="C699" t="s">
        <v>1144</v>
      </c>
      <c r="D699" t="s">
        <v>1173</v>
      </c>
      <c r="E699" t="s">
        <v>1174</v>
      </c>
      <c r="F699">
        <v>135622</v>
      </c>
      <c r="G699" t="s">
        <v>2250</v>
      </c>
      <c r="H699" t="s">
        <v>196</v>
      </c>
      <c r="I699">
        <v>3</v>
      </c>
      <c r="K699" t="s">
        <v>2234</v>
      </c>
    </row>
    <row r="700" spans="1:11" x14ac:dyDescent="0.35">
      <c r="A700" t="s">
        <v>2234</v>
      </c>
      <c r="B700" t="s">
        <v>2234</v>
      </c>
      <c r="C700" t="s">
        <v>2251</v>
      </c>
      <c r="D700" t="s">
        <v>2252</v>
      </c>
      <c r="E700" t="s">
        <v>2253</v>
      </c>
      <c r="F700">
        <v>163041</v>
      </c>
      <c r="G700" t="s">
        <v>2254</v>
      </c>
      <c r="H700" t="s">
        <v>196</v>
      </c>
      <c r="I700">
        <v>6</v>
      </c>
      <c r="J700" t="s">
        <v>2255</v>
      </c>
      <c r="K700" t="s">
        <v>2234</v>
      </c>
    </row>
    <row r="701" spans="1:11" x14ac:dyDescent="0.35">
      <c r="A701" t="s">
        <v>2256</v>
      </c>
      <c r="B701" t="s">
        <v>2257</v>
      </c>
      <c r="C701" t="s">
        <v>198</v>
      </c>
      <c r="D701" t="s">
        <v>221</v>
      </c>
      <c r="E701" t="s">
        <v>222</v>
      </c>
      <c r="F701">
        <v>14.34</v>
      </c>
      <c r="G701" t="s">
        <v>2258</v>
      </c>
      <c r="H701" t="s">
        <v>43</v>
      </c>
      <c r="I701">
        <v>183</v>
      </c>
      <c r="J701" t="s">
        <v>2259</v>
      </c>
      <c r="K701" t="s">
        <v>2256</v>
      </c>
    </row>
    <row r="702" spans="1:11" x14ac:dyDescent="0.35">
      <c r="A702" t="s">
        <v>2256</v>
      </c>
      <c r="B702" t="s">
        <v>2257</v>
      </c>
      <c r="C702" t="s">
        <v>198</v>
      </c>
      <c r="D702" t="s">
        <v>207</v>
      </c>
      <c r="E702" t="s">
        <v>208</v>
      </c>
      <c r="F702">
        <v>14.65</v>
      </c>
      <c r="G702" t="s">
        <v>209</v>
      </c>
      <c r="H702" t="s">
        <v>43</v>
      </c>
      <c r="I702">
        <v>36</v>
      </c>
      <c r="J702" t="s">
        <v>2260</v>
      </c>
      <c r="K702" t="s">
        <v>2256</v>
      </c>
    </row>
    <row r="703" spans="1:11" x14ac:dyDescent="0.35">
      <c r="A703" t="s">
        <v>2256</v>
      </c>
      <c r="B703" t="s">
        <v>2257</v>
      </c>
      <c r="C703" t="s">
        <v>198</v>
      </c>
      <c r="D703" t="s">
        <v>218</v>
      </c>
      <c r="E703" t="s">
        <v>219</v>
      </c>
      <c r="F703">
        <v>16.760000000000002</v>
      </c>
      <c r="G703" t="s">
        <v>1939</v>
      </c>
      <c r="H703" t="s">
        <v>43</v>
      </c>
      <c r="I703">
        <v>133</v>
      </c>
      <c r="J703" t="s">
        <v>2261</v>
      </c>
      <c r="K703" t="s">
        <v>2256</v>
      </c>
    </row>
    <row r="704" spans="1:11" x14ac:dyDescent="0.35">
      <c r="A704" t="s">
        <v>2256</v>
      </c>
      <c r="B704" t="s">
        <v>2257</v>
      </c>
      <c r="C704" t="s">
        <v>198</v>
      </c>
      <c r="D704" t="s">
        <v>1573</v>
      </c>
      <c r="E704" t="s">
        <v>1574</v>
      </c>
      <c r="F704">
        <v>11.04</v>
      </c>
      <c r="G704" t="s">
        <v>2262</v>
      </c>
      <c r="H704" t="s">
        <v>43</v>
      </c>
      <c r="I704">
        <v>157</v>
      </c>
      <c r="J704" t="s">
        <v>2263</v>
      </c>
      <c r="K704" t="s">
        <v>2256</v>
      </c>
    </row>
    <row r="705" spans="1:11" x14ac:dyDescent="0.35">
      <c r="A705" t="s">
        <v>2256</v>
      </c>
      <c r="B705" t="s">
        <v>2257</v>
      </c>
      <c r="C705" t="s">
        <v>198</v>
      </c>
      <c r="D705" t="s">
        <v>323</v>
      </c>
      <c r="E705" t="s">
        <v>324</v>
      </c>
      <c r="F705">
        <v>12.07</v>
      </c>
      <c r="G705" t="s">
        <v>2168</v>
      </c>
      <c r="H705" t="s">
        <v>43</v>
      </c>
      <c r="I705">
        <v>16</v>
      </c>
      <c r="J705" t="s">
        <v>2264</v>
      </c>
      <c r="K705" t="s">
        <v>2256</v>
      </c>
    </row>
    <row r="706" spans="1:11" x14ac:dyDescent="0.35">
      <c r="A706" t="s">
        <v>2256</v>
      </c>
      <c r="B706" t="s">
        <v>2257</v>
      </c>
      <c r="C706" t="s">
        <v>198</v>
      </c>
      <c r="D706" t="s">
        <v>2265</v>
      </c>
      <c r="E706" t="s">
        <v>2266</v>
      </c>
      <c r="F706">
        <v>13.63</v>
      </c>
      <c r="G706" t="s">
        <v>2267</v>
      </c>
      <c r="H706" t="s">
        <v>43</v>
      </c>
      <c r="I706">
        <v>46</v>
      </c>
      <c r="J706" t="s">
        <v>2268</v>
      </c>
      <c r="K706" t="s">
        <v>2256</v>
      </c>
    </row>
    <row r="707" spans="1:11" x14ac:dyDescent="0.35">
      <c r="A707" t="s">
        <v>2256</v>
      </c>
      <c r="B707" t="s">
        <v>2257</v>
      </c>
      <c r="C707" t="s">
        <v>198</v>
      </c>
      <c r="D707" t="s">
        <v>1578</v>
      </c>
      <c r="E707" t="s">
        <v>1579</v>
      </c>
      <c r="F707">
        <v>12.41</v>
      </c>
      <c r="G707" t="s">
        <v>2269</v>
      </c>
      <c r="H707" t="s">
        <v>43</v>
      </c>
      <c r="I707">
        <v>22</v>
      </c>
      <c r="J707" t="s">
        <v>2270</v>
      </c>
      <c r="K707" t="s">
        <v>2256</v>
      </c>
    </row>
    <row r="708" spans="1:11" x14ac:dyDescent="0.35">
      <c r="A708" t="s">
        <v>2256</v>
      </c>
      <c r="B708" t="s">
        <v>2257</v>
      </c>
      <c r="C708" t="s">
        <v>198</v>
      </c>
      <c r="D708" t="s">
        <v>2271</v>
      </c>
      <c r="E708" t="s">
        <v>2272</v>
      </c>
      <c r="F708">
        <v>15.97</v>
      </c>
      <c r="G708" t="s">
        <v>1137</v>
      </c>
      <c r="H708" t="s">
        <v>43</v>
      </c>
      <c r="I708">
        <v>22</v>
      </c>
      <c r="J708" t="s">
        <v>2273</v>
      </c>
      <c r="K708" t="s">
        <v>2256</v>
      </c>
    </row>
    <row r="709" spans="1:11" x14ac:dyDescent="0.35">
      <c r="A709" t="s">
        <v>2256</v>
      </c>
      <c r="B709" t="s">
        <v>2257</v>
      </c>
      <c r="C709" t="s">
        <v>198</v>
      </c>
      <c r="D709" t="s">
        <v>2274</v>
      </c>
      <c r="E709" t="s">
        <v>2275</v>
      </c>
      <c r="F709">
        <v>15.14</v>
      </c>
      <c r="G709" t="s">
        <v>1117</v>
      </c>
      <c r="H709" t="s">
        <v>43</v>
      </c>
      <c r="I709">
        <v>9</v>
      </c>
      <c r="J709" t="s">
        <v>2276</v>
      </c>
      <c r="K709" t="s">
        <v>2256</v>
      </c>
    </row>
    <row r="710" spans="1:11" x14ac:dyDescent="0.35">
      <c r="A710" t="s">
        <v>2256</v>
      </c>
      <c r="B710" t="s">
        <v>2257</v>
      </c>
      <c r="C710" t="s">
        <v>198</v>
      </c>
      <c r="D710" t="s">
        <v>2277</v>
      </c>
      <c r="E710" t="s">
        <v>2278</v>
      </c>
      <c r="F710">
        <v>16.59</v>
      </c>
      <c r="G710" t="s">
        <v>1893</v>
      </c>
      <c r="H710" t="s">
        <v>43</v>
      </c>
      <c r="I710">
        <v>7</v>
      </c>
      <c r="J710" t="s">
        <v>2279</v>
      </c>
      <c r="K710" t="s">
        <v>2256</v>
      </c>
    </row>
    <row r="711" spans="1:11" x14ac:dyDescent="0.35">
      <c r="A711" t="s">
        <v>2280</v>
      </c>
      <c r="B711" t="s">
        <v>2281</v>
      </c>
      <c r="C711" t="s">
        <v>2282</v>
      </c>
      <c r="D711" t="s">
        <v>207</v>
      </c>
      <c r="E711" t="s">
        <v>208</v>
      </c>
      <c r="F711">
        <v>14.66</v>
      </c>
      <c r="G711" t="s">
        <v>2283</v>
      </c>
      <c r="H711" t="s">
        <v>43</v>
      </c>
      <c r="I711">
        <v>1846</v>
      </c>
      <c r="J711" t="s">
        <v>2284</v>
      </c>
      <c r="K711" t="s">
        <v>2281</v>
      </c>
    </row>
    <row r="712" spans="1:11" x14ac:dyDescent="0.35">
      <c r="A712" t="s">
        <v>2280</v>
      </c>
      <c r="B712" t="s">
        <v>2281</v>
      </c>
      <c r="C712" t="s">
        <v>2282</v>
      </c>
      <c r="D712" t="s">
        <v>221</v>
      </c>
      <c r="E712" t="s">
        <v>222</v>
      </c>
      <c r="F712">
        <v>13.98</v>
      </c>
      <c r="G712" t="s">
        <v>2180</v>
      </c>
      <c r="H712" t="s">
        <v>43</v>
      </c>
      <c r="I712">
        <v>35</v>
      </c>
      <c r="J712" t="s">
        <v>2285</v>
      </c>
      <c r="K712" t="s">
        <v>2281</v>
      </c>
    </row>
    <row r="713" spans="1:11" x14ac:dyDescent="0.35">
      <c r="A713" t="s">
        <v>2280</v>
      </c>
      <c r="B713" t="s">
        <v>2281</v>
      </c>
      <c r="C713" t="s">
        <v>2282</v>
      </c>
      <c r="D713" t="s">
        <v>199</v>
      </c>
      <c r="E713" t="s">
        <v>200</v>
      </c>
      <c r="F713">
        <v>20.62</v>
      </c>
      <c r="G713" t="s">
        <v>2286</v>
      </c>
      <c r="H713" t="s">
        <v>43</v>
      </c>
      <c r="I713">
        <v>23</v>
      </c>
      <c r="J713" t="s">
        <v>2287</v>
      </c>
      <c r="K713" t="s">
        <v>2281</v>
      </c>
    </row>
    <row r="714" spans="1:11" x14ac:dyDescent="0.35">
      <c r="A714" t="s">
        <v>2280</v>
      </c>
      <c r="B714" t="s">
        <v>2281</v>
      </c>
      <c r="C714" t="s">
        <v>2282</v>
      </c>
      <c r="D714" t="s">
        <v>1709</v>
      </c>
      <c r="E714" t="s">
        <v>1710</v>
      </c>
      <c r="F714">
        <v>18.600000000000001</v>
      </c>
      <c r="G714" t="s">
        <v>2288</v>
      </c>
      <c r="H714" t="s">
        <v>43</v>
      </c>
      <c r="I714">
        <v>100</v>
      </c>
      <c r="J714" t="s">
        <v>2289</v>
      </c>
      <c r="K714" t="s">
        <v>2281</v>
      </c>
    </row>
    <row r="715" spans="1:11" x14ac:dyDescent="0.35">
      <c r="A715" t="s">
        <v>2280</v>
      </c>
      <c r="B715" t="s">
        <v>2281</v>
      </c>
      <c r="C715" t="s">
        <v>2282</v>
      </c>
      <c r="D715" t="s">
        <v>1612</v>
      </c>
      <c r="E715" t="s">
        <v>1613</v>
      </c>
      <c r="F715">
        <v>15.33</v>
      </c>
      <c r="G715" t="s">
        <v>2290</v>
      </c>
      <c r="H715" t="s">
        <v>43</v>
      </c>
      <c r="I715">
        <v>48</v>
      </c>
      <c r="J715" t="s">
        <v>2291</v>
      </c>
      <c r="K715" t="s">
        <v>2281</v>
      </c>
    </row>
    <row r="716" spans="1:11" x14ac:dyDescent="0.35">
      <c r="A716" t="s">
        <v>2280</v>
      </c>
      <c r="B716" t="s">
        <v>2281</v>
      </c>
      <c r="C716" t="s">
        <v>2282</v>
      </c>
      <c r="D716" t="s">
        <v>1916</v>
      </c>
      <c r="E716" t="s">
        <v>1917</v>
      </c>
      <c r="F716">
        <v>18.329999999999998</v>
      </c>
      <c r="G716" t="s">
        <v>1664</v>
      </c>
      <c r="H716" t="s">
        <v>43</v>
      </c>
      <c r="I716">
        <v>14</v>
      </c>
      <c r="J716" t="s">
        <v>2292</v>
      </c>
      <c r="K716" t="s">
        <v>2281</v>
      </c>
    </row>
    <row r="717" spans="1:11" x14ac:dyDescent="0.35">
      <c r="A717" t="s">
        <v>2280</v>
      </c>
      <c r="B717" t="s">
        <v>2281</v>
      </c>
      <c r="C717" t="s">
        <v>2282</v>
      </c>
      <c r="D717" t="s">
        <v>1348</v>
      </c>
      <c r="E717" t="s">
        <v>1349</v>
      </c>
      <c r="F717">
        <v>13.4</v>
      </c>
      <c r="G717" t="s">
        <v>1575</v>
      </c>
      <c r="H717" t="s">
        <v>43</v>
      </c>
      <c r="I717">
        <v>12</v>
      </c>
      <c r="J717" t="s">
        <v>2293</v>
      </c>
      <c r="K717" t="s">
        <v>2281</v>
      </c>
    </row>
    <row r="718" spans="1:11" x14ac:dyDescent="0.35">
      <c r="A718" t="s">
        <v>2280</v>
      </c>
      <c r="B718" t="s">
        <v>2281</v>
      </c>
      <c r="C718" t="s">
        <v>2282</v>
      </c>
      <c r="D718" t="s">
        <v>218</v>
      </c>
      <c r="E718" t="s">
        <v>219</v>
      </c>
      <c r="F718">
        <v>16.75</v>
      </c>
      <c r="G718" t="s">
        <v>2294</v>
      </c>
      <c r="H718" t="s">
        <v>43</v>
      </c>
      <c r="I718">
        <v>36</v>
      </c>
      <c r="J718" t="s">
        <v>2295</v>
      </c>
      <c r="K718" t="s">
        <v>2281</v>
      </c>
    </row>
    <row r="719" spans="1:11" x14ac:dyDescent="0.35">
      <c r="A719" t="s">
        <v>2280</v>
      </c>
      <c r="B719" t="s">
        <v>2281</v>
      </c>
      <c r="C719" t="s">
        <v>2282</v>
      </c>
      <c r="D719" t="s">
        <v>1573</v>
      </c>
      <c r="E719" t="s">
        <v>1574</v>
      </c>
      <c r="F719">
        <v>15.97</v>
      </c>
      <c r="G719" t="s">
        <v>1137</v>
      </c>
      <c r="H719" t="s">
        <v>43</v>
      </c>
      <c r="I719">
        <v>17</v>
      </c>
      <c r="J719" t="s">
        <v>2296</v>
      </c>
      <c r="K719" t="s">
        <v>2281</v>
      </c>
    </row>
    <row r="720" spans="1:11" x14ac:dyDescent="0.35">
      <c r="A720" t="s">
        <v>2280</v>
      </c>
      <c r="B720" t="s">
        <v>2281</v>
      </c>
      <c r="C720" t="s">
        <v>1674</v>
      </c>
      <c r="D720" t="s">
        <v>1675</v>
      </c>
      <c r="E720" t="s">
        <v>1676</v>
      </c>
      <c r="F720">
        <v>13.35</v>
      </c>
      <c r="G720" t="s">
        <v>2297</v>
      </c>
      <c r="H720" t="s">
        <v>43</v>
      </c>
      <c r="I720">
        <v>500</v>
      </c>
      <c r="J720" t="s">
        <v>2298</v>
      </c>
      <c r="K720" t="s">
        <v>2281</v>
      </c>
    </row>
    <row r="721" spans="1:11" x14ac:dyDescent="0.35">
      <c r="A721" t="s">
        <v>2299</v>
      </c>
      <c r="B721" t="s">
        <v>2300</v>
      </c>
      <c r="C721" t="s">
        <v>158</v>
      </c>
      <c r="D721" t="s">
        <v>2301</v>
      </c>
      <c r="E721" t="s">
        <v>2302</v>
      </c>
      <c r="F721">
        <v>25.68</v>
      </c>
      <c r="G721" t="s">
        <v>2303</v>
      </c>
      <c r="H721" t="s">
        <v>43</v>
      </c>
      <c r="I721">
        <v>12</v>
      </c>
      <c r="J721" t="s">
        <v>2304</v>
      </c>
      <c r="K721" t="s">
        <v>2299</v>
      </c>
    </row>
    <row r="722" spans="1:11" x14ac:dyDescent="0.35">
      <c r="A722" t="s">
        <v>2299</v>
      </c>
      <c r="B722" t="s">
        <v>2300</v>
      </c>
      <c r="C722" t="s">
        <v>158</v>
      </c>
      <c r="D722" t="s">
        <v>2305</v>
      </c>
      <c r="E722" t="s">
        <v>2306</v>
      </c>
      <c r="F722">
        <v>23.97</v>
      </c>
      <c r="G722" t="s">
        <v>2307</v>
      </c>
      <c r="H722" t="s">
        <v>43</v>
      </c>
      <c r="I722">
        <v>6</v>
      </c>
      <c r="J722" t="s">
        <v>2308</v>
      </c>
      <c r="K722" t="s">
        <v>2299</v>
      </c>
    </row>
    <row r="723" spans="1:11" x14ac:dyDescent="0.35">
      <c r="A723" t="s">
        <v>2299</v>
      </c>
      <c r="B723" t="s">
        <v>2300</v>
      </c>
      <c r="C723" t="s">
        <v>158</v>
      </c>
      <c r="D723" t="s">
        <v>179</v>
      </c>
      <c r="E723" t="s">
        <v>180</v>
      </c>
      <c r="F723">
        <v>21.89</v>
      </c>
      <c r="G723" t="s">
        <v>2309</v>
      </c>
      <c r="H723" t="s">
        <v>43</v>
      </c>
      <c r="I723">
        <v>5</v>
      </c>
      <c r="K723" t="s">
        <v>2299</v>
      </c>
    </row>
    <row r="724" spans="1:11" x14ac:dyDescent="0.35">
      <c r="A724" t="s">
        <v>2299</v>
      </c>
      <c r="B724" t="s">
        <v>2300</v>
      </c>
      <c r="C724" t="s">
        <v>158</v>
      </c>
      <c r="D724" t="s">
        <v>175</v>
      </c>
      <c r="E724" t="s">
        <v>176</v>
      </c>
      <c r="F724">
        <v>19.670000000000002</v>
      </c>
      <c r="G724" t="s">
        <v>1781</v>
      </c>
      <c r="H724" t="s">
        <v>43</v>
      </c>
      <c r="I724">
        <v>6</v>
      </c>
      <c r="J724" t="s">
        <v>2310</v>
      </c>
      <c r="K724" t="s">
        <v>2299</v>
      </c>
    </row>
    <row r="725" spans="1:11" x14ac:dyDescent="0.35">
      <c r="A725" t="s">
        <v>2299</v>
      </c>
      <c r="B725" t="s">
        <v>2300</v>
      </c>
      <c r="C725" t="s">
        <v>158</v>
      </c>
      <c r="D725" t="s">
        <v>183</v>
      </c>
      <c r="E725" t="s">
        <v>184</v>
      </c>
      <c r="F725">
        <v>20.420000000000002</v>
      </c>
      <c r="G725" t="s">
        <v>2311</v>
      </c>
      <c r="H725" t="s">
        <v>43</v>
      </c>
      <c r="I725">
        <v>6</v>
      </c>
      <c r="J725" t="s">
        <v>2312</v>
      </c>
      <c r="K725" t="s">
        <v>2299</v>
      </c>
    </row>
    <row r="726" spans="1:11" x14ac:dyDescent="0.35">
      <c r="A726" t="s">
        <v>2299</v>
      </c>
      <c r="B726" t="s">
        <v>2300</v>
      </c>
      <c r="C726" t="s">
        <v>158</v>
      </c>
      <c r="D726" t="s">
        <v>2313</v>
      </c>
      <c r="E726" t="s">
        <v>2314</v>
      </c>
      <c r="F726">
        <v>28.68</v>
      </c>
      <c r="G726" t="s">
        <v>2315</v>
      </c>
      <c r="H726" t="s">
        <v>43</v>
      </c>
      <c r="I726">
        <v>6</v>
      </c>
      <c r="J726" t="s">
        <v>2316</v>
      </c>
      <c r="K726" t="s">
        <v>2299</v>
      </c>
    </row>
    <row r="727" spans="1:11" x14ac:dyDescent="0.35">
      <c r="A727" t="s">
        <v>2299</v>
      </c>
      <c r="B727" t="s">
        <v>2300</v>
      </c>
      <c r="C727" t="s">
        <v>158</v>
      </c>
      <c r="D727" t="s">
        <v>2317</v>
      </c>
      <c r="E727" t="s">
        <v>2318</v>
      </c>
      <c r="F727">
        <v>92196</v>
      </c>
      <c r="G727" t="s">
        <v>2319</v>
      </c>
      <c r="H727" t="s">
        <v>196</v>
      </c>
      <c r="I727">
        <v>5</v>
      </c>
      <c r="K727" t="s">
        <v>2299</v>
      </c>
    </row>
    <row r="728" spans="1:11" x14ac:dyDescent="0.35">
      <c r="A728" t="s">
        <v>2299</v>
      </c>
      <c r="B728" t="s">
        <v>2300</v>
      </c>
      <c r="C728" t="s">
        <v>158</v>
      </c>
      <c r="D728" t="s">
        <v>2320</v>
      </c>
      <c r="E728" t="s">
        <v>2321</v>
      </c>
      <c r="F728">
        <v>22.18</v>
      </c>
      <c r="G728" t="s">
        <v>1410</v>
      </c>
      <c r="H728" t="s">
        <v>43</v>
      </c>
      <c r="I728">
        <v>5</v>
      </c>
      <c r="K728" t="s">
        <v>2299</v>
      </c>
    </row>
    <row r="729" spans="1:11" x14ac:dyDescent="0.35">
      <c r="A729" t="s">
        <v>2299</v>
      </c>
      <c r="B729" t="s">
        <v>2300</v>
      </c>
      <c r="C729" t="s">
        <v>158</v>
      </c>
      <c r="D729" t="s">
        <v>2322</v>
      </c>
      <c r="E729" t="s">
        <v>2323</v>
      </c>
      <c r="F729">
        <v>17.97</v>
      </c>
      <c r="G729" t="s">
        <v>2324</v>
      </c>
      <c r="H729" t="s">
        <v>43</v>
      </c>
      <c r="I729">
        <v>2</v>
      </c>
      <c r="K729" t="s">
        <v>2299</v>
      </c>
    </row>
    <row r="730" spans="1:11" x14ac:dyDescent="0.35">
      <c r="A730" t="s">
        <v>2299</v>
      </c>
      <c r="B730" t="s">
        <v>2300</v>
      </c>
      <c r="C730" t="s">
        <v>158</v>
      </c>
      <c r="D730" t="s">
        <v>2325</v>
      </c>
      <c r="E730" t="s">
        <v>2326</v>
      </c>
      <c r="F730">
        <v>24.62</v>
      </c>
      <c r="G730" t="s">
        <v>2327</v>
      </c>
      <c r="H730" t="s">
        <v>43</v>
      </c>
      <c r="I730">
        <v>2</v>
      </c>
      <c r="K730" t="s">
        <v>2299</v>
      </c>
    </row>
    <row r="731" spans="1:11" x14ac:dyDescent="0.35">
      <c r="A731" t="s">
        <v>2328</v>
      </c>
      <c r="B731" t="s">
        <v>2328</v>
      </c>
      <c r="C731" t="s">
        <v>235</v>
      </c>
      <c r="D731" t="s">
        <v>866</v>
      </c>
      <c r="E731" t="s">
        <v>867</v>
      </c>
      <c r="F731">
        <v>82563</v>
      </c>
      <c r="G731" t="s">
        <v>2329</v>
      </c>
      <c r="H731" t="s">
        <v>196</v>
      </c>
      <c r="I731">
        <v>3</v>
      </c>
      <c r="K731" t="s">
        <v>2328</v>
      </c>
    </row>
    <row r="732" spans="1:11" x14ac:dyDescent="0.35">
      <c r="A732" t="s">
        <v>2328</v>
      </c>
      <c r="B732" t="s">
        <v>2328</v>
      </c>
      <c r="C732" t="s">
        <v>235</v>
      </c>
      <c r="D732" t="s">
        <v>2330</v>
      </c>
      <c r="E732" t="s">
        <v>2331</v>
      </c>
      <c r="F732">
        <v>19.96</v>
      </c>
      <c r="G732" t="s">
        <v>2332</v>
      </c>
      <c r="H732" t="s">
        <v>43</v>
      </c>
      <c r="I732">
        <v>16</v>
      </c>
      <c r="J732" t="s">
        <v>2333</v>
      </c>
      <c r="K732" t="s">
        <v>2328</v>
      </c>
    </row>
    <row r="733" spans="1:11" x14ac:dyDescent="0.35">
      <c r="A733" t="s">
        <v>2328</v>
      </c>
      <c r="B733" t="s">
        <v>2328</v>
      </c>
      <c r="C733" t="s">
        <v>235</v>
      </c>
      <c r="D733" t="s">
        <v>255</v>
      </c>
      <c r="E733" t="s">
        <v>256</v>
      </c>
      <c r="F733">
        <v>66443</v>
      </c>
      <c r="G733" t="s">
        <v>2334</v>
      </c>
      <c r="H733" t="s">
        <v>196</v>
      </c>
      <c r="I733">
        <v>10</v>
      </c>
      <c r="J733" t="s">
        <v>2335</v>
      </c>
      <c r="K733" t="s">
        <v>2328</v>
      </c>
    </row>
    <row r="734" spans="1:11" x14ac:dyDescent="0.35">
      <c r="A734" t="s">
        <v>2328</v>
      </c>
      <c r="B734" t="s">
        <v>2328</v>
      </c>
      <c r="C734" t="s">
        <v>235</v>
      </c>
      <c r="D734" t="s">
        <v>236</v>
      </c>
      <c r="E734" t="s">
        <v>237</v>
      </c>
      <c r="F734">
        <v>66458</v>
      </c>
      <c r="G734" t="s">
        <v>2336</v>
      </c>
      <c r="H734" t="s">
        <v>196</v>
      </c>
      <c r="I734">
        <v>5</v>
      </c>
      <c r="K734" t="s">
        <v>2328</v>
      </c>
    </row>
    <row r="735" spans="1:11" x14ac:dyDescent="0.35">
      <c r="A735" t="s">
        <v>2328</v>
      </c>
      <c r="B735" t="s">
        <v>2328</v>
      </c>
      <c r="C735" t="s">
        <v>235</v>
      </c>
      <c r="D735" t="s">
        <v>1902</v>
      </c>
      <c r="E735" t="s">
        <v>1903</v>
      </c>
      <c r="F735">
        <v>85468</v>
      </c>
      <c r="G735" t="s">
        <v>2337</v>
      </c>
      <c r="H735" t="s">
        <v>196</v>
      </c>
      <c r="I735">
        <v>22</v>
      </c>
      <c r="J735" t="s">
        <v>2338</v>
      </c>
      <c r="K735" t="s">
        <v>2328</v>
      </c>
    </row>
    <row r="736" spans="1:11" x14ac:dyDescent="0.35">
      <c r="A736" t="s">
        <v>2328</v>
      </c>
      <c r="B736" t="s">
        <v>2328</v>
      </c>
      <c r="C736" t="s">
        <v>235</v>
      </c>
      <c r="D736" t="s">
        <v>945</v>
      </c>
      <c r="E736" t="s">
        <v>946</v>
      </c>
      <c r="F736">
        <v>52020</v>
      </c>
      <c r="G736" t="s">
        <v>2339</v>
      </c>
      <c r="H736" t="s">
        <v>196</v>
      </c>
      <c r="I736">
        <v>1</v>
      </c>
      <c r="K736" t="s">
        <v>2328</v>
      </c>
    </row>
    <row r="737" spans="1:11" x14ac:dyDescent="0.35">
      <c r="A737" t="s">
        <v>2328</v>
      </c>
      <c r="B737" t="s">
        <v>2328</v>
      </c>
      <c r="C737" t="s">
        <v>235</v>
      </c>
      <c r="D737" t="s">
        <v>955</v>
      </c>
      <c r="E737" t="s">
        <v>956</v>
      </c>
      <c r="F737">
        <v>40891</v>
      </c>
      <c r="G737" t="s">
        <v>2340</v>
      </c>
      <c r="H737" t="s">
        <v>196</v>
      </c>
      <c r="I737">
        <v>1</v>
      </c>
      <c r="K737" t="s">
        <v>2328</v>
      </c>
    </row>
    <row r="738" spans="1:11" x14ac:dyDescent="0.35">
      <c r="A738" t="s">
        <v>2328</v>
      </c>
      <c r="B738" t="s">
        <v>2328</v>
      </c>
      <c r="C738" t="s">
        <v>235</v>
      </c>
      <c r="D738" t="s">
        <v>1308</v>
      </c>
      <c r="E738" t="s">
        <v>1309</v>
      </c>
      <c r="F738">
        <v>20.86</v>
      </c>
      <c r="G738" t="s">
        <v>2341</v>
      </c>
      <c r="H738" t="s">
        <v>43</v>
      </c>
      <c r="I738">
        <v>26</v>
      </c>
      <c r="J738" t="s">
        <v>2342</v>
      </c>
      <c r="K738" t="s">
        <v>2328</v>
      </c>
    </row>
    <row r="739" spans="1:11" x14ac:dyDescent="0.35">
      <c r="A739" t="s">
        <v>2328</v>
      </c>
      <c r="B739" t="s">
        <v>2328</v>
      </c>
      <c r="C739" t="s">
        <v>235</v>
      </c>
      <c r="D739" t="s">
        <v>1794</v>
      </c>
      <c r="E739" t="s">
        <v>1795</v>
      </c>
      <c r="F739">
        <v>74007</v>
      </c>
      <c r="G739" t="s">
        <v>2343</v>
      </c>
      <c r="H739" t="s">
        <v>196</v>
      </c>
      <c r="I739">
        <v>35</v>
      </c>
      <c r="J739" t="s">
        <v>2344</v>
      </c>
      <c r="K739" t="s">
        <v>2328</v>
      </c>
    </row>
    <row r="740" spans="1:11" x14ac:dyDescent="0.35">
      <c r="A740" t="s">
        <v>2328</v>
      </c>
      <c r="B740" t="s">
        <v>2328</v>
      </c>
      <c r="C740" t="s">
        <v>235</v>
      </c>
      <c r="D740" t="s">
        <v>2345</v>
      </c>
      <c r="E740" t="s">
        <v>2346</v>
      </c>
      <c r="F740">
        <v>16.48</v>
      </c>
      <c r="G740" t="s">
        <v>2188</v>
      </c>
      <c r="H740" t="s">
        <v>43</v>
      </c>
      <c r="I740">
        <v>18</v>
      </c>
      <c r="J740" t="s">
        <v>2347</v>
      </c>
      <c r="K740" t="s">
        <v>2328</v>
      </c>
    </row>
    <row r="741" spans="1:11" x14ac:dyDescent="0.35">
      <c r="A741" t="s">
        <v>2348</v>
      </c>
      <c r="B741" t="s">
        <v>2348</v>
      </c>
      <c r="C741" t="s">
        <v>1674</v>
      </c>
      <c r="D741" t="s">
        <v>1675</v>
      </c>
      <c r="E741" t="s">
        <v>1676</v>
      </c>
      <c r="F741">
        <v>21.06</v>
      </c>
      <c r="G741" t="s">
        <v>2349</v>
      </c>
      <c r="H741" t="s">
        <v>43</v>
      </c>
      <c r="I741">
        <v>291</v>
      </c>
      <c r="J741" t="s">
        <v>2350</v>
      </c>
      <c r="K741" t="s">
        <v>2348</v>
      </c>
    </row>
    <row r="742" spans="1:11" x14ac:dyDescent="0.35">
      <c r="A742" t="s">
        <v>2348</v>
      </c>
      <c r="B742" t="s">
        <v>2348</v>
      </c>
      <c r="C742" t="s">
        <v>1674</v>
      </c>
      <c r="D742" t="s">
        <v>1679</v>
      </c>
      <c r="E742" t="s">
        <v>1680</v>
      </c>
      <c r="F742">
        <v>23.55</v>
      </c>
      <c r="G742" t="s">
        <v>2351</v>
      </c>
      <c r="H742" t="s">
        <v>43</v>
      </c>
      <c r="I742">
        <v>72</v>
      </c>
      <c r="J742" t="s">
        <v>2352</v>
      </c>
      <c r="K742" t="s">
        <v>2348</v>
      </c>
    </row>
    <row r="743" spans="1:11" x14ac:dyDescent="0.35">
      <c r="A743" t="s">
        <v>2348</v>
      </c>
      <c r="B743" t="s">
        <v>2348</v>
      </c>
      <c r="C743" t="s">
        <v>1674</v>
      </c>
      <c r="D743" t="s">
        <v>2122</v>
      </c>
      <c r="E743" t="s">
        <v>2123</v>
      </c>
      <c r="F743">
        <v>17.809999999999999</v>
      </c>
      <c r="G743" t="s">
        <v>2353</v>
      </c>
      <c r="H743" t="s">
        <v>43</v>
      </c>
      <c r="I743">
        <v>16</v>
      </c>
      <c r="J743" t="s">
        <v>2354</v>
      </c>
      <c r="K743" t="s">
        <v>2348</v>
      </c>
    </row>
    <row r="744" spans="1:11" x14ac:dyDescent="0.35">
      <c r="A744" t="s">
        <v>2348</v>
      </c>
      <c r="B744" t="s">
        <v>2348</v>
      </c>
      <c r="C744" t="s">
        <v>1674</v>
      </c>
      <c r="D744" t="s">
        <v>2115</v>
      </c>
      <c r="E744" t="s">
        <v>2116</v>
      </c>
      <c r="F744">
        <v>12.46</v>
      </c>
      <c r="G744" t="s">
        <v>2355</v>
      </c>
      <c r="H744" t="s">
        <v>43</v>
      </c>
      <c r="I744">
        <v>137</v>
      </c>
      <c r="J744" t="s">
        <v>2356</v>
      </c>
      <c r="K744" t="s">
        <v>2348</v>
      </c>
    </row>
    <row r="745" spans="1:11" x14ac:dyDescent="0.35">
      <c r="A745" t="s">
        <v>2348</v>
      </c>
      <c r="B745" t="s">
        <v>2348</v>
      </c>
      <c r="C745" t="s">
        <v>1674</v>
      </c>
      <c r="D745" t="s">
        <v>2357</v>
      </c>
      <c r="E745" t="s">
        <v>2358</v>
      </c>
      <c r="F745">
        <v>29.61</v>
      </c>
      <c r="G745" t="s">
        <v>2359</v>
      </c>
      <c r="H745" t="s">
        <v>43</v>
      </c>
      <c r="I745">
        <v>17</v>
      </c>
      <c r="J745" t="s">
        <v>2360</v>
      </c>
      <c r="K745" t="s">
        <v>2348</v>
      </c>
    </row>
    <row r="746" spans="1:11" x14ac:dyDescent="0.35">
      <c r="A746" t="s">
        <v>2348</v>
      </c>
      <c r="B746" t="s">
        <v>2348</v>
      </c>
      <c r="C746" t="s">
        <v>1674</v>
      </c>
      <c r="D746" t="s">
        <v>1749</v>
      </c>
      <c r="E746" t="s">
        <v>1750</v>
      </c>
      <c r="F746">
        <v>29.44</v>
      </c>
      <c r="G746" t="s">
        <v>2361</v>
      </c>
      <c r="H746" t="s">
        <v>43</v>
      </c>
      <c r="I746">
        <v>8</v>
      </c>
      <c r="J746" t="s">
        <v>2362</v>
      </c>
      <c r="K746" t="s">
        <v>2348</v>
      </c>
    </row>
    <row r="747" spans="1:11" x14ac:dyDescent="0.35">
      <c r="A747" t="s">
        <v>2348</v>
      </c>
      <c r="B747" t="s">
        <v>2348</v>
      </c>
      <c r="C747" t="s">
        <v>1674</v>
      </c>
      <c r="D747" t="s">
        <v>2363</v>
      </c>
      <c r="E747" t="s">
        <v>2364</v>
      </c>
      <c r="F747">
        <v>3930</v>
      </c>
      <c r="G747" t="s">
        <v>2365</v>
      </c>
      <c r="H747" t="s">
        <v>1025</v>
      </c>
      <c r="I747">
        <v>10</v>
      </c>
      <c r="J747" t="s">
        <v>2366</v>
      </c>
      <c r="K747" t="s">
        <v>2348</v>
      </c>
    </row>
    <row r="748" spans="1:11" x14ac:dyDescent="0.35">
      <c r="A748" t="s">
        <v>2348</v>
      </c>
      <c r="B748" t="s">
        <v>2348</v>
      </c>
      <c r="C748" t="s">
        <v>1674</v>
      </c>
      <c r="D748" t="s">
        <v>2110</v>
      </c>
      <c r="E748" t="s">
        <v>2111</v>
      </c>
      <c r="F748">
        <v>14.91</v>
      </c>
      <c r="G748" t="s">
        <v>2367</v>
      </c>
      <c r="H748" t="s">
        <v>43</v>
      </c>
      <c r="I748">
        <v>5</v>
      </c>
      <c r="K748" t="s">
        <v>2348</v>
      </c>
    </row>
    <row r="749" spans="1:11" x14ac:dyDescent="0.35">
      <c r="A749" t="s">
        <v>2348</v>
      </c>
      <c r="B749" t="s">
        <v>2348</v>
      </c>
      <c r="C749" t="s">
        <v>1674</v>
      </c>
      <c r="D749" t="s">
        <v>1757</v>
      </c>
      <c r="E749" t="s">
        <v>1758</v>
      </c>
      <c r="F749">
        <v>18.97</v>
      </c>
      <c r="G749" t="s">
        <v>232</v>
      </c>
      <c r="H749" t="s">
        <v>43</v>
      </c>
      <c r="I749">
        <v>2</v>
      </c>
      <c r="K749" t="s">
        <v>2348</v>
      </c>
    </row>
    <row r="750" spans="1:11" x14ac:dyDescent="0.35">
      <c r="A750" t="s">
        <v>2348</v>
      </c>
      <c r="B750" t="s">
        <v>2348</v>
      </c>
      <c r="C750" t="s">
        <v>1674</v>
      </c>
      <c r="D750" t="s">
        <v>2105</v>
      </c>
      <c r="E750" t="s">
        <v>2106</v>
      </c>
      <c r="F750">
        <v>10</v>
      </c>
      <c r="G750" t="s">
        <v>1702</v>
      </c>
      <c r="H750" t="s">
        <v>43</v>
      </c>
      <c r="I750">
        <v>4</v>
      </c>
      <c r="K750" t="s">
        <v>2348</v>
      </c>
    </row>
    <row r="751" spans="1:11" x14ac:dyDescent="0.35">
      <c r="A751" t="s">
        <v>2368</v>
      </c>
      <c r="B751" t="s">
        <v>2368</v>
      </c>
      <c r="C751" t="s">
        <v>544</v>
      </c>
      <c r="D751" t="s">
        <v>545</v>
      </c>
      <c r="E751" t="s">
        <v>546</v>
      </c>
      <c r="F751">
        <v>100272</v>
      </c>
      <c r="G751" t="s">
        <v>2369</v>
      </c>
      <c r="H751" t="s">
        <v>196</v>
      </c>
      <c r="I751">
        <v>14</v>
      </c>
      <c r="J751" t="s">
        <v>2370</v>
      </c>
      <c r="K751" t="s">
        <v>2368</v>
      </c>
    </row>
    <row r="752" spans="1:11" x14ac:dyDescent="0.35">
      <c r="A752" t="s">
        <v>2368</v>
      </c>
      <c r="B752" t="s">
        <v>2368</v>
      </c>
      <c r="C752" t="s">
        <v>544</v>
      </c>
      <c r="D752" t="s">
        <v>603</v>
      </c>
      <c r="E752" t="s">
        <v>604</v>
      </c>
      <c r="F752">
        <v>87493</v>
      </c>
      <c r="G752" t="s">
        <v>2371</v>
      </c>
      <c r="H752" t="s">
        <v>196</v>
      </c>
      <c r="I752">
        <v>41</v>
      </c>
      <c r="J752" t="s">
        <v>2372</v>
      </c>
      <c r="K752" t="s">
        <v>2368</v>
      </c>
    </row>
    <row r="753" spans="1:11" x14ac:dyDescent="0.35">
      <c r="A753" t="s">
        <v>2368</v>
      </c>
      <c r="B753" t="s">
        <v>2368</v>
      </c>
      <c r="C753" t="s">
        <v>544</v>
      </c>
      <c r="D753" t="s">
        <v>699</v>
      </c>
      <c r="E753" t="s">
        <v>700</v>
      </c>
      <c r="F753">
        <v>150477</v>
      </c>
      <c r="G753" t="s">
        <v>2373</v>
      </c>
      <c r="H753" t="s">
        <v>196</v>
      </c>
      <c r="I753">
        <v>11</v>
      </c>
      <c r="J753" t="s">
        <v>2374</v>
      </c>
      <c r="K753" t="s">
        <v>2368</v>
      </c>
    </row>
    <row r="754" spans="1:11" x14ac:dyDescent="0.35">
      <c r="A754" t="s">
        <v>2368</v>
      </c>
      <c r="B754" t="s">
        <v>2368</v>
      </c>
      <c r="C754" t="s">
        <v>544</v>
      </c>
      <c r="D754" t="s">
        <v>553</v>
      </c>
      <c r="E754" t="s">
        <v>554</v>
      </c>
      <c r="F754">
        <v>125537</v>
      </c>
      <c r="G754" t="s">
        <v>2375</v>
      </c>
      <c r="H754" t="s">
        <v>196</v>
      </c>
      <c r="I754">
        <v>10</v>
      </c>
      <c r="J754" t="s">
        <v>2376</v>
      </c>
      <c r="K754" t="s">
        <v>2368</v>
      </c>
    </row>
    <row r="755" spans="1:11" x14ac:dyDescent="0.35">
      <c r="A755" t="s">
        <v>2368</v>
      </c>
      <c r="B755" t="s">
        <v>2368</v>
      </c>
      <c r="C755" t="s">
        <v>544</v>
      </c>
      <c r="D755" t="s">
        <v>564</v>
      </c>
      <c r="E755" t="s">
        <v>565</v>
      </c>
      <c r="F755">
        <v>130179</v>
      </c>
      <c r="G755" t="s">
        <v>2377</v>
      </c>
      <c r="H755" t="s">
        <v>196</v>
      </c>
      <c r="I755">
        <v>9</v>
      </c>
      <c r="J755" t="s">
        <v>2378</v>
      </c>
      <c r="K755" t="s">
        <v>2368</v>
      </c>
    </row>
    <row r="756" spans="1:11" x14ac:dyDescent="0.35">
      <c r="A756" t="s">
        <v>2368</v>
      </c>
      <c r="B756" t="s">
        <v>2368</v>
      </c>
      <c r="C756" t="s">
        <v>544</v>
      </c>
      <c r="D756" t="s">
        <v>2379</v>
      </c>
      <c r="E756" t="s">
        <v>2380</v>
      </c>
      <c r="F756">
        <v>138406</v>
      </c>
      <c r="G756" t="s">
        <v>2381</v>
      </c>
      <c r="H756" t="s">
        <v>196</v>
      </c>
      <c r="I756">
        <v>9</v>
      </c>
      <c r="J756" t="s">
        <v>2382</v>
      </c>
      <c r="K756" t="s">
        <v>2368</v>
      </c>
    </row>
    <row r="757" spans="1:11" x14ac:dyDescent="0.35">
      <c r="A757" t="s">
        <v>2368</v>
      </c>
      <c r="B757" t="s">
        <v>2368</v>
      </c>
      <c r="C757" t="s">
        <v>544</v>
      </c>
      <c r="D757" t="s">
        <v>2383</v>
      </c>
      <c r="E757" t="s">
        <v>2384</v>
      </c>
      <c r="F757">
        <v>109440</v>
      </c>
      <c r="G757" t="s">
        <v>2385</v>
      </c>
      <c r="H757" t="s">
        <v>196</v>
      </c>
      <c r="I757">
        <v>7</v>
      </c>
      <c r="J757" t="s">
        <v>2386</v>
      </c>
      <c r="K757" t="s">
        <v>2368</v>
      </c>
    </row>
    <row r="758" spans="1:11" x14ac:dyDescent="0.35">
      <c r="A758" t="s">
        <v>2368</v>
      </c>
      <c r="B758" t="s">
        <v>2368</v>
      </c>
      <c r="C758" t="s">
        <v>544</v>
      </c>
      <c r="D758" t="s">
        <v>2387</v>
      </c>
      <c r="E758" t="s">
        <v>2388</v>
      </c>
      <c r="F758">
        <v>159535</v>
      </c>
      <c r="G758" t="s">
        <v>2389</v>
      </c>
      <c r="H758" t="s">
        <v>196</v>
      </c>
      <c r="I758">
        <v>8</v>
      </c>
      <c r="J758" t="s">
        <v>2390</v>
      </c>
      <c r="K758" t="s">
        <v>2368</v>
      </c>
    </row>
    <row r="759" spans="1:11" x14ac:dyDescent="0.35">
      <c r="A759" t="s">
        <v>2368</v>
      </c>
      <c r="B759" t="s">
        <v>2368</v>
      </c>
      <c r="C759" t="s">
        <v>544</v>
      </c>
      <c r="D759" t="s">
        <v>2391</v>
      </c>
      <c r="E759" t="s">
        <v>2392</v>
      </c>
      <c r="F759">
        <v>138051</v>
      </c>
      <c r="G759" t="s">
        <v>2393</v>
      </c>
      <c r="H759" t="s">
        <v>196</v>
      </c>
      <c r="I759">
        <v>10</v>
      </c>
      <c r="J759" t="s">
        <v>2394</v>
      </c>
      <c r="K759" t="s">
        <v>2368</v>
      </c>
    </row>
    <row r="760" spans="1:11" x14ac:dyDescent="0.35">
      <c r="A760" t="s">
        <v>2368</v>
      </c>
      <c r="B760" t="s">
        <v>2368</v>
      </c>
      <c r="C760" t="s">
        <v>544</v>
      </c>
      <c r="D760" t="s">
        <v>561</v>
      </c>
      <c r="E760" t="s">
        <v>562</v>
      </c>
      <c r="F760">
        <v>111233</v>
      </c>
      <c r="G760" t="s">
        <v>2395</v>
      </c>
      <c r="H760" t="s">
        <v>196</v>
      </c>
      <c r="I760">
        <v>7</v>
      </c>
      <c r="J760" t="s">
        <v>2396</v>
      </c>
      <c r="K760" t="s">
        <v>2368</v>
      </c>
    </row>
    <row r="761" spans="1:11" x14ac:dyDescent="0.35">
      <c r="A761" t="s">
        <v>2397</v>
      </c>
      <c r="B761" t="s">
        <v>2398</v>
      </c>
      <c r="C761" t="s">
        <v>2002</v>
      </c>
      <c r="D761" t="s">
        <v>2399</v>
      </c>
      <c r="E761" t="s">
        <v>2400</v>
      </c>
      <c r="F761">
        <v>84718</v>
      </c>
      <c r="G761" t="s">
        <v>2401</v>
      </c>
      <c r="H761" t="s">
        <v>196</v>
      </c>
      <c r="I761">
        <v>21</v>
      </c>
      <c r="J761" t="s">
        <v>2402</v>
      </c>
      <c r="K761" t="s">
        <v>2397</v>
      </c>
    </row>
    <row r="762" spans="1:11" x14ac:dyDescent="0.35">
      <c r="A762" t="s">
        <v>2397</v>
      </c>
      <c r="B762" t="s">
        <v>2398</v>
      </c>
      <c r="C762" t="s">
        <v>2002</v>
      </c>
      <c r="D762" t="s">
        <v>2064</v>
      </c>
      <c r="E762" t="s">
        <v>2065</v>
      </c>
      <c r="F762">
        <v>128679</v>
      </c>
      <c r="G762" t="s">
        <v>2403</v>
      </c>
      <c r="H762" t="s">
        <v>196</v>
      </c>
      <c r="I762">
        <v>39</v>
      </c>
      <c r="J762" t="s">
        <v>2404</v>
      </c>
      <c r="K762" t="s">
        <v>2397</v>
      </c>
    </row>
    <row r="763" spans="1:11" x14ac:dyDescent="0.35">
      <c r="A763" t="s">
        <v>2397</v>
      </c>
      <c r="B763" t="s">
        <v>2398</v>
      </c>
      <c r="C763" t="s">
        <v>2002</v>
      </c>
      <c r="D763" t="s">
        <v>2405</v>
      </c>
      <c r="E763" t="s">
        <v>2406</v>
      </c>
      <c r="F763">
        <v>92082</v>
      </c>
      <c r="G763" t="s">
        <v>2407</v>
      </c>
      <c r="H763" t="s">
        <v>196</v>
      </c>
      <c r="I763">
        <v>20</v>
      </c>
      <c r="J763" t="s">
        <v>2408</v>
      </c>
      <c r="K763" t="s">
        <v>2397</v>
      </c>
    </row>
    <row r="764" spans="1:11" x14ac:dyDescent="0.35">
      <c r="A764" t="s">
        <v>2397</v>
      </c>
      <c r="B764" t="s">
        <v>2398</v>
      </c>
      <c r="C764" t="s">
        <v>2002</v>
      </c>
      <c r="D764" t="s">
        <v>2409</v>
      </c>
      <c r="E764" t="s">
        <v>2410</v>
      </c>
      <c r="F764">
        <v>87887</v>
      </c>
      <c r="G764" t="s">
        <v>2411</v>
      </c>
      <c r="H764" t="s">
        <v>196</v>
      </c>
      <c r="I764">
        <v>12</v>
      </c>
      <c r="J764" t="s">
        <v>2412</v>
      </c>
      <c r="K764" t="s">
        <v>2397</v>
      </c>
    </row>
    <row r="765" spans="1:11" x14ac:dyDescent="0.35">
      <c r="A765" t="s">
        <v>2397</v>
      </c>
      <c r="B765" t="s">
        <v>2398</v>
      </c>
      <c r="C765" t="s">
        <v>2002</v>
      </c>
      <c r="D765" t="s">
        <v>2413</v>
      </c>
      <c r="E765" t="s">
        <v>2414</v>
      </c>
      <c r="F765">
        <v>71494</v>
      </c>
      <c r="G765" t="s">
        <v>2415</v>
      </c>
      <c r="H765" t="s">
        <v>196</v>
      </c>
      <c r="I765">
        <v>8</v>
      </c>
      <c r="J765" t="s">
        <v>2416</v>
      </c>
      <c r="K765" t="s">
        <v>2397</v>
      </c>
    </row>
    <row r="766" spans="1:11" x14ac:dyDescent="0.35">
      <c r="A766" t="s">
        <v>2397</v>
      </c>
      <c r="B766" t="s">
        <v>2398</v>
      </c>
      <c r="C766" t="s">
        <v>2002</v>
      </c>
      <c r="D766" t="s">
        <v>2417</v>
      </c>
      <c r="E766" t="s">
        <v>2418</v>
      </c>
      <c r="F766">
        <v>143073</v>
      </c>
      <c r="G766" t="s">
        <v>2419</v>
      </c>
      <c r="H766" t="s">
        <v>196</v>
      </c>
      <c r="I766">
        <v>9</v>
      </c>
      <c r="J766" t="s">
        <v>2420</v>
      </c>
      <c r="K766" t="s">
        <v>2397</v>
      </c>
    </row>
    <row r="767" spans="1:11" x14ac:dyDescent="0.35">
      <c r="A767" t="s">
        <v>2397</v>
      </c>
      <c r="B767" t="s">
        <v>2398</v>
      </c>
      <c r="C767" t="s">
        <v>2002</v>
      </c>
      <c r="D767" t="s">
        <v>2003</v>
      </c>
      <c r="E767" t="s">
        <v>2004</v>
      </c>
      <c r="F767">
        <v>98286</v>
      </c>
      <c r="G767" t="s">
        <v>2421</v>
      </c>
      <c r="H767" t="s">
        <v>196</v>
      </c>
      <c r="I767">
        <v>8</v>
      </c>
      <c r="J767" t="s">
        <v>2422</v>
      </c>
      <c r="K767" t="s">
        <v>2397</v>
      </c>
    </row>
    <row r="768" spans="1:11" x14ac:dyDescent="0.35">
      <c r="A768" t="s">
        <v>2397</v>
      </c>
      <c r="B768" t="s">
        <v>2398</v>
      </c>
      <c r="C768" t="s">
        <v>2002</v>
      </c>
      <c r="D768" t="s">
        <v>2423</v>
      </c>
      <c r="E768" t="s">
        <v>2424</v>
      </c>
      <c r="F768">
        <v>52441</v>
      </c>
      <c r="G768" t="s">
        <v>2425</v>
      </c>
      <c r="H768" t="s">
        <v>196</v>
      </c>
      <c r="I768">
        <v>4</v>
      </c>
      <c r="K768" t="s">
        <v>2397</v>
      </c>
    </row>
    <row r="769" spans="1:11" x14ac:dyDescent="0.35">
      <c r="A769" t="s">
        <v>2397</v>
      </c>
      <c r="B769" t="s">
        <v>2398</v>
      </c>
      <c r="C769" t="s">
        <v>2002</v>
      </c>
      <c r="D769" t="s">
        <v>2426</v>
      </c>
      <c r="E769" t="s">
        <v>2427</v>
      </c>
      <c r="F769">
        <v>64244</v>
      </c>
      <c r="G769" t="s">
        <v>2428</v>
      </c>
      <c r="H769" t="s">
        <v>196</v>
      </c>
      <c r="I769">
        <v>4</v>
      </c>
      <c r="K769" t="s">
        <v>2397</v>
      </c>
    </row>
    <row r="770" spans="1:11" x14ac:dyDescent="0.35">
      <c r="A770" t="s">
        <v>2397</v>
      </c>
      <c r="B770" t="s">
        <v>2398</v>
      </c>
      <c r="C770" t="s">
        <v>2002</v>
      </c>
      <c r="D770" t="s">
        <v>2429</v>
      </c>
      <c r="E770" t="s">
        <v>2430</v>
      </c>
      <c r="F770">
        <v>60408</v>
      </c>
      <c r="G770" t="s">
        <v>2431</v>
      </c>
      <c r="H770" t="s">
        <v>196</v>
      </c>
      <c r="I770">
        <v>3</v>
      </c>
      <c r="K770" t="s">
        <v>2397</v>
      </c>
    </row>
    <row r="771" spans="1:11" x14ac:dyDescent="0.35">
      <c r="A771" t="s">
        <v>2432</v>
      </c>
      <c r="B771" t="s">
        <v>2433</v>
      </c>
      <c r="C771" t="s">
        <v>235</v>
      </c>
      <c r="D771" t="s">
        <v>2434</v>
      </c>
      <c r="E771" t="s">
        <v>2435</v>
      </c>
      <c r="F771">
        <v>139742</v>
      </c>
      <c r="G771" t="s">
        <v>2436</v>
      </c>
      <c r="H771" t="s">
        <v>196</v>
      </c>
      <c r="I771">
        <v>21</v>
      </c>
      <c r="J771" t="s">
        <v>2437</v>
      </c>
      <c r="K771" t="s">
        <v>2432</v>
      </c>
    </row>
    <row r="772" spans="1:11" x14ac:dyDescent="0.35">
      <c r="A772" t="s">
        <v>2432</v>
      </c>
      <c r="B772" t="s">
        <v>2433</v>
      </c>
      <c r="C772" t="s">
        <v>235</v>
      </c>
      <c r="D772" t="s">
        <v>860</v>
      </c>
      <c r="E772" t="s">
        <v>861</v>
      </c>
      <c r="F772">
        <v>142541</v>
      </c>
      <c r="G772" t="s">
        <v>2438</v>
      </c>
      <c r="H772" t="s">
        <v>196</v>
      </c>
      <c r="I772">
        <v>12</v>
      </c>
      <c r="J772" t="s">
        <v>2439</v>
      </c>
      <c r="K772" t="s">
        <v>2432</v>
      </c>
    </row>
    <row r="773" spans="1:11" x14ac:dyDescent="0.35">
      <c r="A773" t="s">
        <v>2432</v>
      </c>
      <c r="B773" t="s">
        <v>2433</v>
      </c>
      <c r="C773" t="s">
        <v>235</v>
      </c>
      <c r="D773" t="s">
        <v>252</v>
      </c>
      <c r="E773" t="s">
        <v>253</v>
      </c>
      <c r="F773">
        <v>211341</v>
      </c>
      <c r="G773" t="s">
        <v>2440</v>
      </c>
      <c r="H773" t="s">
        <v>196</v>
      </c>
      <c r="I773">
        <v>15</v>
      </c>
      <c r="J773" t="s">
        <v>2441</v>
      </c>
      <c r="K773" t="s">
        <v>2432</v>
      </c>
    </row>
    <row r="774" spans="1:11" x14ac:dyDescent="0.35">
      <c r="A774" t="s">
        <v>2432</v>
      </c>
      <c r="B774" t="s">
        <v>2433</v>
      </c>
      <c r="C774" t="s">
        <v>235</v>
      </c>
      <c r="D774" t="s">
        <v>874</v>
      </c>
      <c r="E774" t="s">
        <v>875</v>
      </c>
      <c r="F774">
        <v>187766</v>
      </c>
      <c r="G774" t="s">
        <v>2442</v>
      </c>
      <c r="H774" t="s">
        <v>196</v>
      </c>
      <c r="I774">
        <v>8</v>
      </c>
      <c r="J774" t="s">
        <v>2443</v>
      </c>
      <c r="K774" t="s">
        <v>2432</v>
      </c>
    </row>
    <row r="775" spans="1:11" x14ac:dyDescent="0.35">
      <c r="A775" t="s">
        <v>2432</v>
      </c>
      <c r="B775" t="s">
        <v>2433</v>
      </c>
      <c r="C775" t="s">
        <v>235</v>
      </c>
      <c r="D775" t="s">
        <v>2444</v>
      </c>
      <c r="E775" t="s">
        <v>2445</v>
      </c>
      <c r="F775">
        <v>46998</v>
      </c>
      <c r="G775" t="s">
        <v>2446</v>
      </c>
      <c r="H775" t="s">
        <v>196</v>
      </c>
      <c r="I775">
        <v>26</v>
      </c>
      <c r="J775" t="s">
        <v>2447</v>
      </c>
      <c r="K775" t="s">
        <v>2432</v>
      </c>
    </row>
    <row r="776" spans="1:11" x14ac:dyDescent="0.35">
      <c r="A776" t="s">
        <v>2432</v>
      </c>
      <c r="B776" t="s">
        <v>2433</v>
      </c>
      <c r="C776" t="s">
        <v>235</v>
      </c>
      <c r="D776" t="s">
        <v>248</v>
      </c>
      <c r="E776" t="s">
        <v>249</v>
      </c>
      <c r="F776">
        <v>159992</v>
      </c>
      <c r="G776" t="s">
        <v>2448</v>
      </c>
      <c r="H776" t="s">
        <v>196</v>
      </c>
      <c r="I776">
        <v>15</v>
      </c>
      <c r="J776" t="s">
        <v>2449</v>
      </c>
      <c r="K776" t="s">
        <v>2432</v>
      </c>
    </row>
    <row r="777" spans="1:11" x14ac:dyDescent="0.35">
      <c r="A777" t="s">
        <v>2432</v>
      </c>
      <c r="B777" t="s">
        <v>2433</v>
      </c>
      <c r="C777" t="s">
        <v>235</v>
      </c>
      <c r="D777" t="s">
        <v>236</v>
      </c>
      <c r="E777" t="s">
        <v>237</v>
      </c>
      <c r="F777">
        <v>94517</v>
      </c>
      <c r="G777" t="s">
        <v>2450</v>
      </c>
      <c r="H777" t="s">
        <v>196</v>
      </c>
      <c r="I777">
        <v>14</v>
      </c>
      <c r="J777" t="s">
        <v>2451</v>
      </c>
      <c r="K777" t="s">
        <v>2432</v>
      </c>
    </row>
    <row r="778" spans="1:11" x14ac:dyDescent="0.35">
      <c r="A778" t="s">
        <v>2432</v>
      </c>
      <c r="B778" t="s">
        <v>2433</v>
      </c>
      <c r="C778" t="s">
        <v>235</v>
      </c>
      <c r="D778" t="s">
        <v>2149</v>
      </c>
      <c r="E778" t="s">
        <v>2150</v>
      </c>
      <c r="F778">
        <v>261472</v>
      </c>
      <c r="G778" t="s">
        <v>2452</v>
      </c>
      <c r="H778" t="s">
        <v>196</v>
      </c>
      <c r="I778">
        <v>9</v>
      </c>
      <c r="J778" t="s">
        <v>2453</v>
      </c>
      <c r="K778" t="s">
        <v>2432</v>
      </c>
    </row>
    <row r="779" spans="1:11" x14ac:dyDescent="0.35">
      <c r="A779" t="s">
        <v>2432</v>
      </c>
      <c r="B779" t="s">
        <v>2433</v>
      </c>
      <c r="C779" t="s">
        <v>235</v>
      </c>
      <c r="D779" t="s">
        <v>890</v>
      </c>
      <c r="E779" t="s">
        <v>891</v>
      </c>
      <c r="F779">
        <v>129746</v>
      </c>
      <c r="G779" t="s">
        <v>2454</v>
      </c>
      <c r="H779" t="s">
        <v>196</v>
      </c>
      <c r="I779">
        <v>5</v>
      </c>
      <c r="K779" t="s">
        <v>2432</v>
      </c>
    </row>
    <row r="780" spans="1:11" x14ac:dyDescent="0.35">
      <c r="A780" t="s">
        <v>2432</v>
      </c>
      <c r="B780" t="s">
        <v>2433</v>
      </c>
      <c r="C780" t="s">
        <v>235</v>
      </c>
      <c r="D780" t="s">
        <v>2455</v>
      </c>
      <c r="E780" t="s">
        <v>2456</v>
      </c>
      <c r="F780">
        <v>109782</v>
      </c>
      <c r="G780" t="s">
        <v>2457</v>
      </c>
      <c r="H780" t="s">
        <v>196</v>
      </c>
      <c r="I780">
        <v>10</v>
      </c>
      <c r="J780" t="s">
        <v>2458</v>
      </c>
      <c r="K780" t="s">
        <v>2432</v>
      </c>
    </row>
    <row r="781" spans="1:11" x14ac:dyDescent="0.35">
      <c r="A781" t="s">
        <v>2459</v>
      </c>
      <c r="B781" t="s">
        <v>2460</v>
      </c>
      <c r="C781" t="s">
        <v>544</v>
      </c>
      <c r="D781" t="s">
        <v>545</v>
      </c>
      <c r="E781" t="s">
        <v>546</v>
      </c>
      <c r="F781">
        <v>93155</v>
      </c>
      <c r="G781" t="s">
        <v>2461</v>
      </c>
      <c r="H781" t="s">
        <v>196</v>
      </c>
      <c r="I781">
        <v>13</v>
      </c>
      <c r="J781" t="s">
        <v>2462</v>
      </c>
      <c r="K781" t="s">
        <v>2459</v>
      </c>
    </row>
    <row r="782" spans="1:11" x14ac:dyDescent="0.35">
      <c r="A782" t="s">
        <v>2459</v>
      </c>
      <c r="B782" t="s">
        <v>2460</v>
      </c>
      <c r="C782" t="s">
        <v>544</v>
      </c>
      <c r="D782" t="s">
        <v>561</v>
      </c>
      <c r="E782" t="s">
        <v>562</v>
      </c>
      <c r="F782">
        <v>128260</v>
      </c>
      <c r="G782" t="s">
        <v>2463</v>
      </c>
      <c r="H782" t="s">
        <v>196</v>
      </c>
      <c r="I782">
        <v>8</v>
      </c>
      <c r="J782" t="s">
        <v>2464</v>
      </c>
      <c r="K782" t="s">
        <v>2459</v>
      </c>
    </row>
    <row r="783" spans="1:11" x14ac:dyDescent="0.35">
      <c r="A783" t="s">
        <v>2459</v>
      </c>
      <c r="B783" t="s">
        <v>2460</v>
      </c>
      <c r="C783" t="s">
        <v>544</v>
      </c>
      <c r="D783" t="s">
        <v>553</v>
      </c>
      <c r="E783" t="s">
        <v>554</v>
      </c>
      <c r="F783">
        <v>125702</v>
      </c>
      <c r="G783" t="s">
        <v>2465</v>
      </c>
      <c r="H783" t="s">
        <v>196</v>
      </c>
      <c r="I783">
        <v>6</v>
      </c>
      <c r="J783" t="s">
        <v>2466</v>
      </c>
      <c r="K783" t="s">
        <v>2459</v>
      </c>
    </row>
    <row r="784" spans="1:11" x14ac:dyDescent="0.35">
      <c r="A784" t="s">
        <v>2459</v>
      </c>
      <c r="B784" t="s">
        <v>2460</v>
      </c>
      <c r="C784" t="s">
        <v>544</v>
      </c>
      <c r="D784" t="s">
        <v>2467</v>
      </c>
      <c r="E784" t="s">
        <v>2468</v>
      </c>
      <c r="F784">
        <v>140463</v>
      </c>
      <c r="G784" t="s">
        <v>2469</v>
      </c>
      <c r="H784" t="s">
        <v>196</v>
      </c>
      <c r="I784">
        <v>5</v>
      </c>
      <c r="K784" t="s">
        <v>2459</v>
      </c>
    </row>
    <row r="785" spans="1:11" x14ac:dyDescent="0.35">
      <c r="A785" t="s">
        <v>2459</v>
      </c>
      <c r="B785" t="s">
        <v>2460</v>
      </c>
      <c r="C785" t="s">
        <v>544</v>
      </c>
      <c r="D785" t="s">
        <v>2391</v>
      </c>
      <c r="E785" t="s">
        <v>2392</v>
      </c>
      <c r="F785">
        <v>108279</v>
      </c>
      <c r="G785" t="s">
        <v>2470</v>
      </c>
      <c r="H785" t="s">
        <v>196</v>
      </c>
      <c r="I785">
        <v>6</v>
      </c>
      <c r="J785" t="s">
        <v>2471</v>
      </c>
      <c r="K785" t="s">
        <v>2459</v>
      </c>
    </row>
    <row r="786" spans="1:11" x14ac:dyDescent="0.35">
      <c r="A786" t="s">
        <v>2459</v>
      </c>
      <c r="B786" t="s">
        <v>2460</v>
      </c>
      <c r="C786" t="s">
        <v>544</v>
      </c>
      <c r="D786" t="s">
        <v>578</v>
      </c>
      <c r="E786" t="s">
        <v>579</v>
      </c>
      <c r="F786">
        <v>139866</v>
      </c>
      <c r="G786" t="s">
        <v>2472</v>
      </c>
      <c r="H786" t="s">
        <v>196</v>
      </c>
      <c r="I786">
        <v>5</v>
      </c>
      <c r="K786" t="s">
        <v>2459</v>
      </c>
    </row>
    <row r="787" spans="1:11" x14ac:dyDescent="0.35">
      <c r="A787" t="s">
        <v>2459</v>
      </c>
      <c r="B787" t="s">
        <v>2460</v>
      </c>
      <c r="C787" t="s">
        <v>544</v>
      </c>
      <c r="D787" t="s">
        <v>2473</v>
      </c>
      <c r="E787" t="s">
        <v>2474</v>
      </c>
      <c r="F787">
        <v>128003</v>
      </c>
      <c r="G787" t="s">
        <v>2475</v>
      </c>
      <c r="H787" t="s">
        <v>196</v>
      </c>
      <c r="I787">
        <v>6</v>
      </c>
      <c r="J787" t="s">
        <v>2476</v>
      </c>
      <c r="K787" t="s">
        <v>2459</v>
      </c>
    </row>
    <row r="788" spans="1:11" x14ac:dyDescent="0.35">
      <c r="A788" t="s">
        <v>2459</v>
      </c>
      <c r="B788" t="s">
        <v>2460</v>
      </c>
      <c r="C788" t="s">
        <v>544</v>
      </c>
      <c r="D788" t="s">
        <v>595</v>
      </c>
      <c r="E788" t="s">
        <v>596</v>
      </c>
      <c r="F788">
        <v>103358</v>
      </c>
      <c r="G788" t="s">
        <v>2477</v>
      </c>
      <c r="H788" t="s">
        <v>196</v>
      </c>
      <c r="I788">
        <v>8</v>
      </c>
      <c r="J788" t="s">
        <v>2478</v>
      </c>
      <c r="K788" t="s">
        <v>2459</v>
      </c>
    </row>
    <row r="789" spans="1:11" x14ac:dyDescent="0.35">
      <c r="A789" t="s">
        <v>2459</v>
      </c>
      <c r="B789" t="s">
        <v>2460</v>
      </c>
      <c r="C789" t="s">
        <v>544</v>
      </c>
      <c r="D789" t="s">
        <v>564</v>
      </c>
      <c r="E789" t="s">
        <v>565</v>
      </c>
      <c r="F789">
        <v>108975</v>
      </c>
      <c r="G789" t="s">
        <v>2479</v>
      </c>
      <c r="H789" t="s">
        <v>196</v>
      </c>
      <c r="I789">
        <v>8</v>
      </c>
      <c r="J789" t="s">
        <v>2480</v>
      </c>
      <c r="K789" t="s">
        <v>2459</v>
      </c>
    </row>
    <row r="790" spans="1:11" x14ac:dyDescent="0.35">
      <c r="A790" t="s">
        <v>2459</v>
      </c>
      <c r="B790" t="s">
        <v>2460</v>
      </c>
      <c r="C790" t="s">
        <v>544</v>
      </c>
      <c r="D790" t="s">
        <v>2481</v>
      </c>
      <c r="E790" t="s">
        <v>2482</v>
      </c>
      <c r="F790">
        <v>124503</v>
      </c>
      <c r="G790" t="s">
        <v>2483</v>
      </c>
      <c r="H790" t="s">
        <v>196</v>
      </c>
      <c r="I790">
        <v>4</v>
      </c>
      <c r="K790" t="s">
        <v>2459</v>
      </c>
    </row>
    <row r="791" spans="1:11" x14ac:dyDescent="0.35">
      <c r="A791" t="s">
        <v>2484</v>
      </c>
      <c r="B791" t="s">
        <v>2485</v>
      </c>
      <c r="C791" t="s">
        <v>1144</v>
      </c>
      <c r="D791" t="s">
        <v>1149</v>
      </c>
      <c r="E791" t="s">
        <v>1150</v>
      </c>
      <c r="F791">
        <v>94005</v>
      </c>
      <c r="G791" t="s">
        <v>2486</v>
      </c>
      <c r="H791" t="s">
        <v>196</v>
      </c>
      <c r="I791">
        <v>14</v>
      </c>
      <c r="J791" t="s">
        <v>2487</v>
      </c>
      <c r="K791" t="s">
        <v>2484</v>
      </c>
    </row>
    <row r="792" spans="1:11" x14ac:dyDescent="0.35">
      <c r="A792" t="s">
        <v>2484</v>
      </c>
      <c r="B792" t="s">
        <v>2485</v>
      </c>
      <c r="C792" t="s">
        <v>1144</v>
      </c>
      <c r="D792" t="s">
        <v>1145</v>
      </c>
      <c r="E792" t="s">
        <v>1146</v>
      </c>
      <c r="F792">
        <v>73215</v>
      </c>
      <c r="G792" t="s">
        <v>2488</v>
      </c>
      <c r="H792" t="s">
        <v>196</v>
      </c>
      <c r="I792">
        <v>16</v>
      </c>
      <c r="J792" t="s">
        <v>2489</v>
      </c>
      <c r="K792" t="s">
        <v>2484</v>
      </c>
    </row>
    <row r="793" spans="1:11" x14ac:dyDescent="0.35">
      <c r="A793" t="s">
        <v>2484</v>
      </c>
      <c r="B793" t="s">
        <v>2485</v>
      </c>
      <c r="C793" t="s">
        <v>1144</v>
      </c>
      <c r="D793" t="s">
        <v>1161</v>
      </c>
      <c r="E793" t="s">
        <v>1162</v>
      </c>
      <c r="F793">
        <v>65138</v>
      </c>
      <c r="G793" t="s">
        <v>2490</v>
      </c>
      <c r="H793" t="s">
        <v>196</v>
      </c>
      <c r="I793">
        <v>6</v>
      </c>
      <c r="J793" t="s">
        <v>2491</v>
      </c>
      <c r="K793" t="s">
        <v>2484</v>
      </c>
    </row>
    <row r="794" spans="1:11" x14ac:dyDescent="0.35">
      <c r="A794" t="s">
        <v>2484</v>
      </c>
      <c r="B794" t="s">
        <v>2485</v>
      </c>
      <c r="C794" t="s">
        <v>1144</v>
      </c>
      <c r="D794" t="s">
        <v>1153</v>
      </c>
      <c r="E794" t="s">
        <v>1154</v>
      </c>
      <c r="F794">
        <v>113705</v>
      </c>
      <c r="G794" t="s">
        <v>2492</v>
      </c>
      <c r="H794" t="s">
        <v>196</v>
      </c>
      <c r="I794">
        <v>7</v>
      </c>
      <c r="J794" t="s">
        <v>2493</v>
      </c>
      <c r="K794" t="s">
        <v>2484</v>
      </c>
    </row>
    <row r="795" spans="1:11" x14ac:dyDescent="0.35">
      <c r="A795" t="s">
        <v>2484</v>
      </c>
      <c r="B795" t="s">
        <v>2485</v>
      </c>
      <c r="C795" t="s">
        <v>1144</v>
      </c>
      <c r="D795" t="s">
        <v>1165</v>
      </c>
      <c r="E795" t="s">
        <v>1166</v>
      </c>
      <c r="F795">
        <v>104837</v>
      </c>
      <c r="G795" t="s">
        <v>2494</v>
      </c>
      <c r="H795" t="s">
        <v>196</v>
      </c>
      <c r="I795">
        <v>7</v>
      </c>
      <c r="J795" t="s">
        <v>2495</v>
      </c>
      <c r="K795" t="s">
        <v>2484</v>
      </c>
    </row>
    <row r="796" spans="1:11" x14ac:dyDescent="0.35">
      <c r="A796" t="s">
        <v>2484</v>
      </c>
      <c r="B796" t="s">
        <v>2485</v>
      </c>
      <c r="C796" t="s">
        <v>1144</v>
      </c>
      <c r="D796" t="s">
        <v>1157</v>
      </c>
      <c r="E796" t="s">
        <v>1158</v>
      </c>
      <c r="F796">
        <v>110419</v>
      </c>
      <c r="G796" t="s">
        <v>2496</v>
      </c>
      <c r="H796" t="s">
        <v>196</v>
      </c>
      <c r="I796">
        <v>8</v>
      </c>
      <c r="J796" t="s">
        <v>2497</v>
      </c>
      <c r="K796" t="s">
        <v>2484</v>
      </c>
    </row>
    <row r="797" spans="1:11" x14ac:dyDescent="0.35">
      <c r="A797" t="s">
        <v>2484</v>
      </c>
      <c r="B797" t="s">
        <v>2485</v>
      </c>
      <c r="C797" t="s">
        <v>1144</v>
      </c>
      <c r="D797" t="s">
        <v>2498</v>
      </c>
      <c r="E797" t="s">
        <v>2499</v>
      </c>
      <c r="F797">
        <v>62831</v>
      </c>
      <c r="G797" t="s">
        <v>2500</v>
      </c>
      <c r="H797" t="s">
        <v>196</v>
      </c>
      <c r="I797">
        <v>5</v>
      </c>
      <c r="K797" t="s">
        <v>2484</v>
      </c>
    </row>
    <row r="798" spans="1:11" x14ac:dyDescent="0.35">
      <c r="A798" t="s">
        <v>2484</v>
      </c>
      <c r="B798" t="s">
        <v>2485</v>
      </c>
      <c r="C798" t="s">
        <v>1144</v>
      </c>
      <c r="D798" t="s">
        <v>1284</v>
      </c>
      <c r="E798" t="s">
        <v>1285</v>
      </c>
      <c r="F798">
        <v>135675</v>
      </c>
      <c r="G798" t="s">
        <v>2501</v>
      </c>
      <c r="H798" t="s">
        <v>196</v>
      </c>
      <c r="I798">
        <v>7</v>
      </c>
      <c r="J798" t="s">
        <v>2502</v>
      </c>
      <c r="K798" t="s">
        <v>2484</v>
      </c>
    </row>
    <row r="799" spans="1:11" x14ac:dyDescent="0.35">
      <c r="A799" t="s">
        <v>2484</v>
      </c>
      <c r="B799" t="s">
        <v>2485</v>
      </c>
      <c r="C799" t="s">
        <v>1144</v>
      </c>
      <c r="D799" t="s">
        <v>1169</v>
      </c>
      <c r="E799" t="s">
        <v>1170</v>
      </c>
      <c r="F799">
        <v>99371</v>
      </c>
      <c r="G799" t="s">
        <v>2503</v>
      </c>
      <c r="H799" t="s">
        <v>196</v>
      </c>
      <c r="I799">
        <v>7</v>
      </c>
      <c r="J799" t="s">
        <v>2504</v>
      </c>
      <c r="K799" t="s">
        <v>2484</v>
      </c>
    </row>
    <row r="800" spans="1:11" x14ac:dyDescent="0.35">
      <c r="A800" t="s">
        <v>2484</v>
      </c>
      <c r="B800" t="s">
        <v>2485</v>
      </c>
      <c r="C800" t="s">
        <v>1144</v>
      </c>
      <c r="D800" t="s">
        <v>1173</v>
      </c>
      <c r="E800" t="s">
        <v>1174</v>
      </c>
      <c r="F800">
        <v>79557</v>
      </c>
      <c r="G800" t="s">
        <v>2505</v>
      </c>
      <c r="H800" t="s">
        <v>196</v>
      </c>
      <c r="I800">
        <v>7</v>
      </c>
      <c r="J800" t="s">
        <v>2506</v>
      </c>
      <c r="K800" t="s">
        <v>2484</v>
      </c>
    </row>
    <row r="801" spans="1:11" x14ac:dyDescent="0.35">
      <c r="A801" t="s">
        <v>2507</v>
      </c>
      <c r="B801" t="s">
        <v>2508</v>
      </c>
      <c r="C801" t="s">
        <v>235</v>
      </c>
      <c r="D801" t="s">
        <v>236</v>
      </c>
      <c r="E801" t="s">
        <v>237</v>
      </c>
      <c r="F801">
        <v>106548</v>
      </c>
      <c r="G801" t="s">
        <v>2509</v>
      </c>
      <c r="H801" t="s">
        <v>196</v>
      </c>
      <c r="I801">
        <v>17</v>
      </c>
      <c r="J801" t="s">
        <v>2510</v>
      </c>
      <c r="K801" t="s">
        <v>2507</v>
      </c>
    </row>
    <row r="802" spans="1:11" x14ac:dyDescent="0.35">
      <c r="A802" t="s">
        <v>2507</v>
      </c>
      <c r="B802" t="s">
        <v>2508</v>
      </c>
      <c r="C802" t="s">
        <v>235</v>
      </c>
      <c r="D802" t="s">
        <v>248</v>
      </c>
      <c r="E802" t="s">
        <v>249</v>
      </c>
      <c r="F802">
        <v>162004</v>
      </c>
      <c r="G802" t="s">
        <v>2511</v>
      </c>
      <c r="H802" t="s">
        <v>196</v>
      </c>
      <c r="I802">
        <v>10</v>
      </c>
      <c r="J802" t="s">
        <v>2512</v>
      </c>
      <c r="K802" t="s">
        <v>2507</v>
      </c>
    </row>
    <row r="803" spans="1:11" x14ac:dyDescent="0.35">
      <c r="A803" t="s">
        <v>2507</v>
      </c>
      <c r="B803" t="s">
        <v>2508</v>
      </c>
      <c r="C803" t="s">
        <v>235</v>
      </c>
      <c r="D803" t="s">
        <v>252</v>
      </c>
      <c r="E803" t="s">
        <v>253</v>
      </c>
      <c r="F803">
        <v>185688</v>
      </c>
      <c r="G803" t="s">
        <v>2513</v>
      </c>
      <c r="H803" t="s">
        <v>196</v>
      </c>
      <c r="I803">
        <v>6</v>
      </c>
      <c r="J803" t="s">
        <v>2514</v>
      </c>
      <c r="K803" t="s">
        <v>2507</v>
      </c>
    </row>
    <row r="804" spans="1:11" x14ac:dyDescent="0.35">
      <c r="A804" t="s">
        <v>2507</v>
      </c>
      <c r="B804" t="s">
        <v>2508</v>
      </c>
      <c r="C804" t="s">
        <v>235</v>
      </c>
      <c r="D804" t="s">
        <v>1779</v>
      </c>
      <c r="E804" t="s">
        <v>1780</v>
      </c>
      <c r="F804">
        <v>224079</v>
      </c>
      <c r="G804" t="s">
        <v>2515</v>
      </c>
      <c r="H804" t="s">
        <v>196</v>
      </c>
      <c r="I804">
        <v>9</v>
      </c>
      <c r="J804" t="s">
        <v>2516</v>
      </c>
      <c r="K804" t="s">
        <v>2507</v>
      </c>
    </row>
    <row r="805" spans="1:11" x14ac:dyDescent="0.35">
      <c r="A805" t="s">
        <v>2507</v>
      </c>
      <c r="B805" t="s">
        <v>2508</v>
      </c>
      <c r="C805" t="s">
        <v>235</v>
      </c>
      <c r="D805" t="s">
        <v>2517</v>
      </c>
      <c r="E805" t="s">
        <v>2518</v>
      </c>
      <c r="F805">
        <v>122131</v>
      </c>
      <c r="G805" t="s">
        <v>2519</v>
      </c>
      <c r="H805" t="s">
        <v>196</v>
      </c>
      <c r="I805">
        <v>7</v>
      </c>
      <c r="J805" t="s">
        <v>2520</v>
      </c>
      <c r="K805" t="s">
        <v>2507</v>
      </c>
    </row>
    <row r="806" spans="1:11" x14ac:dyDescent="0.35">
      <c r="A806" t="s">
        <v>2507</v>
      </c>
      <c r="B806" t="s">
        <v>2508</v>
      </c>
      <c r="C806" t="s">
        <v>235</v>
      </c>
      <c r="D806" t="s">
        <v>240</v>
      </c>
      <c r="E806" t="s">
        <v>241</v>
      </c>
      <c r="F806">
        <v>67646</v>
      </c>
      <c r="G806" t="s">
        <v>2521</v>
      </c>
      <c r="H806" t="s">
        <v>196</v>
      </c>
      <c r="I806">
        <v>4</v>
      </c>
      <c r="K806" t="s">
        <v>2507</v>
      </c>
    </row>
    <row r="807" spans="1:11" x14ac:dyDescent="0.35">
      <c r="A807" t="s">
        <v>2507</v>
      </c>
      <c r="B807" t="s">
        <v>2508</v>
      </c>
      <c r="C807" t="s">
        <v>235</v>
      </c>
      <c r="D807" t="s">
        <v>2522</v>
      </c>
      <c r="E807" t="s">
        <v>2523</v>
      </c>
      <c r="F807">
        <v>166162</v>
      </c>
      <c r="G807" t="s">
        <v>2524</v>
      </c>
      <c r="H807" t="s">
        <v>196</v>
      </c>
      <c r="I807">
        <v>4</v>
      </c>
      <c r="K807" t="s">
        <v>2507</v>
      </c>
    </row>
    <row r="808" spans="1:11" x14ac:dyDescent="0.35">
      <c r="A808" t="s">
        <v>2507</v>
      </c>
      <c r="B808" t="s">
        <v>2508</v>
      </c>
      <c r="C808" t="s">
        <v>235</v>
      </c>
      <c r="D808" t="s">
        <v>2525</v>
      </c>
      <c r="E808" t="s">
        <v>2526</v>
      </c>
      <c r="F808">
        <v>64874</v>
      </c>
      <c r="G808" t="s">
        <v>2527</v>
      </c>
      <c r="H808" t="s">
        <v>196</v>
      </c>
      <c r="I808">
        <v>4</v>
      </c>
      <c r="K808" t="s">
        <v>2507</v>
      </c>
    </row>
    <row r="809" spans="1:11" x14ac:dyDescent="0.35">
      <c r="A809" t="s">
        <v>2507</v>
      </c>
      <c r="B809" t="s">
        <v>2508</v>
      </c>
      <c r="C809" t="s">
        <v>235</v>
      </c>
      <c r="D809" t="s">
        <v>2528</v>
      </c>
      <c r="E809" t="s">
        <v>2529</v>
      </c>
      <c r="F809">
        <v>64003</v>
      </c>
      <c r="G809" t="s">
        <v>2530</v>
      </c>
      <c r="H809" t="s">
        <v>196</v>
      </c>
      <c r="I809">
        <v>3</v>
      </c>
      <c r="K809" t="s">
        <v>2507</v>
      </c>
    </row>
    <row r="810" spans="1:11" x14ac:dyDescent="0.35">
      <c r="A810" t="s">
        <v>2507</v>
      </c>
      <c r="B810" t="s">
        <v>2508</v>
      </c>
      <c r="C810" t="s">
        <v>235</v>
      </c>
      <c r="D810" t="s">
        <v>2531</v>
      </c>
      <c r="E810" t="s">
        <v>2532</v>
      </c>
      <c r="F810">
        <v>35.74</v>
      </c>
      <c r="G810" t="s">
        <v>2533</v>
      </c>
      <c r="H810" t="s">
        <v>43</v>
      </c>
      <c r="I810">
        <v>3</v>
      </c>
      <c r="K810" t="s">
        <v>2507</v>
      </c>
    </row>
    <row r="811" spans="1:11" x14ac:dyDescent="0.35">
      <c r="A811" t="s">
        <v>2534</v>
      </c>
      <c r="B811" t="s">
        <v>2535</v>
      </c>
      <c r="C811" t="s">
        <v>80</v>
      </c>
      <c r="D811" t="s">
        <v>96</v>
      </c>
      <c r="E811" t="s">
        <v>97</v>
      </c>
      <c r="F811">
        <v>18.46</v>
      </c>
      <c r="G811" t="s">
        <v>1392</v>
      </c>
      <c r="H811" t="s">
        <v>43</v>
      </c>
      <c r="I811">
        <v>15</v>
      </c>
      <c r="J811" t="s">
        <v>2536</v>
      </c>
      <c r="K811" t="s">
        <v>2534</v>
      </c>
    </row>
    <row r="812" spans="1:11" x14ac:dyDescent="0.35">
      <c r="A812" t="s">
        <v>2534</v>
      </c>
      <c r="B812" t="s">
        <v>2535</v>
      </c>
      <c r="C812" t="s">
        <v>80</v>
      </c>
      <c r="D812" t="s">
        <v>2194</v>
      </c>
      <c r="E812" t="s">
        <v>2195</v>
      </c>
      <c r="F812">
        <v>18.05</v>
      </c>
      <c r="G812" t="s">
        <v>2537</v>
      </c>
      <c r="H812" t="s">
        <v>43</v>
      </c>
      <c r="I812">
        <v>16</v>
      </c>
      <c r="J812" t="s">
        <v>2538</v>
      </c>
      <c r="K812" t="s">
        <v>2534</v>
      </c>
    </row>
    <row r="813" spans="1:11" x14ac:dyDescent="0.35">
      <c r="A813" t="s">
        <v>2534</v>
      </c>
      <c r="B813" t="s">
        <v>2535</v>
      </c>
      <c r="C813" t="s">
        <v>80</v>
      </c>
      <c r="D813" t="s">
        <v>2539</v>
      </c>
      <c r="E813" t="s">
        <v>2540</v>
      </c>
      <c r="F813">
        <v>26.08</v>
      </c>
      <c r="G813" t="s">
        <v>2541</v>
      </c>
      <c r="H813" t="s">
        <v>43</v>
      </c>
      <c r="I813">
        <v>12</v>
      </c>
      <c r="J813" t="s">
        <v>2542</v>
      </c>
      <c r="K813" t="s">
        <v>2534</v>
      </c>
    </row>
    <row r="814" spans="1:11" x14ac:dyDescent="0.35">
      <c r="A814" t="s">
        <v>2534</v>
      </c>
      <c r="B814" t="s">
        <v>2535</v>
      </c>
      <c r="C814" t="s">
        <v>80</v>
      </c>
      <c r="D814" t="s">
        <v>2543</v>
      </c>
      <c r="E814" t="s">
        <v>2544</v>
      </c>
      <c r="F814">
        <v>16.45</v>
      </c>
      <c r="G814" t="s">
        <v>2545</v>
      </c>
      <c r="H814" t="s">
        <v>43</v>
      </c>
      <c r="I814">
        <v>18</v>
      </c>
      <c r="J814" t="s">
        <v>2546</v>
      </c>
      <c r="K814" t="s">
        <v>2534</v>
      </c>
    </row>
    <row r="815" spans="1:11" x14ac:dyDescent="0.35">
      <c r="A815" t="s">
        <v>2534</v>
      </c>
      <c r="B815" t="s">
        <v>2535</v>
      </c>
      <c r="C815" t="s">
        <v>80</v>
      </c>
      <c r="D815" t="s">
        <v>2547</v>
      </c>
      <c r="E815" t="s">
        <v>2548</v>
      </c>
      <c r="F815">
        <v>19.66</v>
      </c>
      <c r="G815" t="s">
        <v>2549</v>
      </c>
      <c r="H815" t="s">
        <v>43</v>
      </c>
      <c r="I815">
        <v>5</v>
      </c>
      <c r="K815" t="s">
        <v>2534</v>
      </c>
    </row>
    <row r="816" spans="1:11" x14ac:dyDescent="0.35">
      <c r="A816" t="s">
        <v>2534</v>
      </c>
      <c r="B816" t="s">
        <v>2535</v>
      </c>
      <c r="C816" t="s">
        <v>80</v>
      </c>
      <c r="D816" t="s">
        <v>81</v>
      </c>
      <c r="E816" t="s">
        <v>82</v>
      </c>
      <c r="F816">
        <v>20.18</v>
      </c>
      <c r="G816" t="s">
        <v>1216</v>
      </c>
      <c r="H816" t="s">
        <v>43</v>
      </c>
      <c r="I816">
        <v>5</v>
      </c>
      <c r="K816" t="s">
        <v>2534</v>
      </c>
    </row>
    <row r="817" spans="1:11" x14ac:dyDescent="0.35">
      <c r="A817" t="s">
        <v>2534</v>
      </c>
      <c r="B817" t="s">
        <v>2535</v>
      </c>
      <c r="C817" t="s">
        <v>80</v>
      </c>
      <c r="D817" t="s">
        <v>2550</v>
      </c>
      <c r="E817" t="s">
        <v>2551</v>
      </c>
      <c r="F817">
        <v>51.47</v>
      </c>
      <c r="G817" t="s">
        <v>2552</v>
      </c>
      <c r="H817" t="s">
        <v>43</v>
      </c>
      <c r="I817">
        <v>4</v>
      </c>
      <c r="K817" t="s">
        <v>2534</v>
      </c>
    </row>
    <row r="818" spans="1:11" x14ac:dyDescent="0.35">
      <c r="A818" t="s">
        <v>2534</v>
      </c>
      <c r="B818" t="s">
        <v>2535</v>
      </c>
      <c r="C818" t="s">
        <v>80</v>
      </c>
      <c r="D818" t="s">
        <v>2553</v>
      </c>
      <c r="E818" t="s">
        <v>2554</v>
      </c>
      <c r="F818">
        <v>20.98</v>
      </c>
      <c r="G818" t="s">
        <v>1250</v>
      </c>
      <c r="H818" t="s">
        <v>43</v>
      </c>
      <c r="I818">
        <v>4</v>
      </c>
      <c r="K818" t="s">
        <v>2534</v>
      </c>
    </row>
    <row r="819" spans="1:11" x14ac:dyDescent="0.35">
      <c r="A819" t="s">
        <v>2534</v>
      </c>
      <c r="B819" t="s">
        <v>2535</v>
      </c>
      <c r="C819" t="s">
        <v>80</v>
      </c>
      <c r="D819" t="s">
        <v>2555</v>
      </c>
      <c r="E819" t="s">
        <v>2556</v>
      </c>
      <c r="F819">
        <v>22.45</v>
      </c>
      <c r="G819" t="s">
        <v>2557</v>
      </c>
      <c r="H819" t="s">
        <v>43</v>
      </c>
      <c r="I819">
        <v>3</v>
      </c>
      <c r="K819" t="s">
        <v>2534</v>
      </c>
    </row>
    <row r="820" spans="1:11" x14ac:dyDescent="0.35">
      <c r="A820" t="s">
        <v>2534</v>
      </c>
      <c r="B820" t="s">
        <v>2535</v>
      </c>
      <c r="C820" t="s">
        <v>80</v>
      </c>
      <c r="D820" t="s">
        <v>2558</v>
      </c>
      <c r="E820" t="s">
        <v>2559</v>
      </c>
      <c r="F820">
        <v>18.25</v>
      </c>
      <c r="G820" t="s">
        <v>2093</v>
      </c>
      <c r="H820" t="s">
        <v>43</v>
      </c>
      <c r="I820">
        <v>1</v>
      </c>
      <c r="K820" t="s">
        <v>2534</v>
      </c>
    </row>
    <row r="821" spans="1:11" x14ac:dyDescent="0.35">
      <c r="A821" t="s">
        <v>2560</v>
      </c>
      <c r="B821" t="s">
        <v>2561</v>
      </c>
      <c r="C821" t="s">
        <v>378</v>
      </c>
      <c r="D821" t="s">
        <v>401</v>
      </c>
      <c r="E821" t="s">
        <v>402</v>
      </c>
      <c r="F821">
        <v>98207</v>
      </c>
      <c r="G821" t="s">
        <v>2562</v>
      </c>
      <c r="H821" t="s">
        <v>196</v>
      </c>
      <c r="I821">
        <v>7</v>
      </c>
      <c r="J821" t="s">
        <v>2563</v>
      </c>
      <c r="K821" t="s">
        <v>2560</v>
      </c>
    </row>
    <row r="822" spans="1:11" x14ac:dyDescent="0.35">
      <c r="A822" t="s">
        <v>2560</v>
      </c>
      <c r="B822" t="s">
        <v>2561</v>
      </c>
      <c r="C822" t="s">
        <v>378</v>
      </c>
      <c r="D822" t="s">
        <v>424</v>
      </c>
      <c r="E822" t="s">
        <v>425</v>
      </c>
      <c r="F822">
        <v>117872</v>
      </c>
      <c r="G822" t="s">
        <v>2564</v>
      </c>
      <c r="H822" t="s">
        <v>196</v>
      </c>
      <c r="I822">
        <v>14</v>
      </c>
      <c r="J822" t="s">
        <v>2565</v>
      </c>
      <c r="K822" t="s">
        <v>2560</v>
      </c>
    </row>
    <row r="823" spans="1:11" x14ac:dyDescent="0.35">
      <c r="A823" t="s">
        <v>2560</v>
      </c>
      <c r="B823" t="s">
        <v>2561</v>
      </c>
      <c r="C823" t="s">
        <v>378</v>
      </c>
      <c r="D823" t="s">
        <v>1383</v>
      </c>
      <c r="E823" t="s">
        <v>1384</v>
      </c>
      <c r="F823">
        <v>110276</v>
      </c>
      <c r="G823" t="s">
        <v>2566</v>
      </c>
      <c r="H823" t="s">
        <v>196</v>
      </c>
      <c r="I823">
        <v>9</v>
      </c>
      <c r="J823" t="s">
        <v>2567</v>
      </c>
      <c r="K823" t="s">
        <v>2560</v>
      </c>
    </row>
    <row r="824" spans="1:11" x14ac:dyDescent="0.35">
      <c r="A824" t="s">
        <v>2560</v>
      </c>
      <c r="B824" t="s">
        <v>2561</v>
      </c>
      <c r="C824" t="s">
        <v>378</v>
      </c>
      <c r="D824" t="s">
        <v>387</v>
      </c>
      <c r="E824" t="s">
        <v>388</v>
      </c>
      <c r="F824">
        <v>74035</v>
      </c>
      <c r="G824" t="s">
        <v>2568</v>
      </c>
      <c r="H824" t="s">
        <v>196</v>
      </c>
      <c r="I824">
        <v>6</v>
      </c>
      <c r="J824" t="s">
        <v>2569</v>
      </c>
      <c r="K824" t="s">
        <v>2560</v>
      </c>
    </row>
    <row r="825" spans="1:11" x14ac:dyDescent="0.35">
      <c r="A825" t="s">
        <v>2560</v>
      </c>
      <c r="B825" t="s">
        <v>2561</v>
      </c>
      <c r="C825" t="s">
        <v>378</v>
      </c>
      <c r="D825" t="s">
        <v>1365</v>
      </c>
      <c r="E825" t="s">
        <v>1366</v>
      </c>
      <c r="F825">
        <v>171170</v>
      </c>
      <c r="G825" t="s">
        <v>2570</v>
      </c>
      <c r="H825" t="s">
        <v>196</v>
      </c>
      <c r="I825">
        <v>7</v>
      </c>
      <c r="J825" t="s">
        <v>2571</v>
      </c>
      <c r="K825" t="s">
        <v>2560</v>
      </c>
    </row>
    <row r="826" spans="1:11" x14ac:dyDescent="0.35">
      <c r="A826" t="s">
        <v>2560</v>
      </c>
      <c r="B826" t="s">
        <v>2561</v>
      </c>
      <c r="C826" t="s">
        <v>378</v>
      </c>
      <c r="D826" t="s">
        <v>2572</v>
      </c>
      <c r="E826" t="s">
        <v>2573</v>
      </c>
      <c r="F826">
        <v>113699</v>
      </c>
      <c r="G826" t="s">
        <v>2574</v>
      </c>
      <c r="H826" t="s">
        <v>196</v>
      </c>
      <c r="I826">
        <v>6</v>
      </c>
      <c r="J826" t="s">
        <v>2575</v>
      </c>
      <c r="K826" t="s">
        <v>2560</v>
      </c>
    </row>
    <row r="827" spans="1:11" x14ac:dyDescent="0.35">
      <c r="A827" t="s">
        <v>2560</v>
      </c>
      <c r="B827" t="s">
        <v>2561</v>
      </c>
      <c r="C827" t="s">
        <v>378</v>
      </c>
      <c r="D827" t="s">
        <v>2576</v>
      </c>
      <c r="E827" t="s">
        <v>2577</v>
      </c>
      <c r="F827">
        <v>105109</v>
      </c>
      <c r="G827" t="s">
        <v>2578</v>
      </c>
      <c r="H827" t="s">
        <v>196</v>
      </c>
      <c r="I827">
        <v>6</v>
      </c>
      <c r="J827" t="s">
        <v>2579</v>
      </c>
      <c r="K827" t="s">
        <v>2560</v>
      </c>
    </row>
    <row r="828" spans="1:11" x14ac:dyDescent="0.35">
      <c r="A828" t="s">
        <v>2560</v>
      </c>
      <c r="B828" t="s">
        <v>2561</v>
      </c>
      <c r="C828" t="s">
        <v>378</v>
      </c>
      <c r="D828" t="s">
        <v>391</v>
      </c>
      <c r="E828" t="s">
        <v>392</v>
      </c>
      <c r="F828">
        <v>70274</v>
      </c>
      <c r="G828" t="s">
        <v>2580</v>
      </c>
      <c r="H828" t="s">
        <v>196</v>
      </c>
      <c r="I828">
        <v>6</v>
      </c>
      <c r="J828" t="s">
        <v>2581</v>
      </c>
      <c r="K828" t="s">
        <v>2560</v>
      </c>
    </row>
    <row r="829" spans="1:11" x14ac:dyDescent="0.35">
      <c r="A829" t="s">
        <v>2560</v>
      </c>
      <c r="B829" t="s">
        <v>2561</v>
      </c>
      <c r="C829" t="s">
        <v>378</v>
      </c>
      <c r="D829" t="s">
        <v>2097</v>
      </c>
      <c r="E829" t="s">
        <v>2098</v>
      </c>
      <c r="F829">
        <v>115917</v>
      </c>
      <c r="G829" t="s">
        <v>2582</v>
      </c>
      <c r="H829" t="s">
        <v>196</v>
      </c>
      <c r="I829">
        <v>5</v>
      </c>
      <c r="K829" t="s">
        <v>2560</v>
      </c>
    </row>
    <row r="830" spans="1:11" x14ac:dyDescent="0.35">
      <c r="A830" t="s">
        <v>2560</v>
      </c>
      <c r="B830" t="s">
        <v>2561</v>
      </c>
      <c r="C830" t="s">
        <v>378</v>
      </c>
      <c r="D830" t="s">
        <v>2583</v>
      </c>
      <c r="E830" t="s">
        <v>2584</v>
      </c>
      <c r="F830">
        <v>156448</v>
      </c>
      <c r="G830" t="s">
        <v>2585</v>
      </c>
      <c r="H830" t="s">
        <v>196</v>
      </c>
      <c r="I830">
        <v>5</v>
      </c>
      <c r="K830" t="s">
        <v>2560</v>
      </c>
    </row>
    <row r="831" spans="1:11" x14ac:dyDescent="0.35">
      <c r="A831" t="s">
        <v>2586</v>
      </c>
      <c r="B831" t="s">
        <v>2586</v>
      </c>
      <c r="C831" t="s">
        <v>544</v>
      </c>
      <c r="D831" t="s">
        <v>2467</v>
      </c>
      <c r="E831" t="s">
        <v>2468</v>
      </c>
      <c r="F831">
        <v>192602</v>
      </c>
      <c r="G831" t="s">
        <v>2587</v>
      </c>
      <c r="H831" t="s">
        <v>196</v>
      </c>
      <c r="I831">
        <v>9</v>
      </c>
      <c r="J831" t="s">
        <v>2588</v>
      </c>
      <c r="K831" t="s">
        <v>2586</v>
      </c>
    </row>
    <row r="832" spans="1:11" x14ac:dyDescent="0.35">
      <c r="A832" t="s">
        <v>2586</v>
      </c>
      <c r="B832" t="s">
        <v>2586</v>
      </c>
      <c r="C832" t="s">
        <v>544</v>
      </c>
      <c r="D832" t="s">
        <v>2589</v>
      </c>
      <c r="E832" t="s">
        <v>2590</v>
      </c>
      <c r="F832">
        <v>129502</v>
      </c>
      <c r="G832" t="s">
        <v>2591</v>
      </c>
      <c r="H832" t="s">
        <v>196</v>
      </c>
      <c r="I832">
        <v>9</v>
      </c>
      <c r="J832" t="s">
        <v>2592</v>
      </c>
      <c r="K832" t="s">
        <v>2586</v>
      </c>
    </row>
    <row r="833" spans="1:11" x14ac:dyDescent="0.35">
      <c r="A833" t="s">
        <v>2586</v>
      </c>
      <c r="B833" t="s">
        <v>2586</v>
      </c>
      <c r="C833" t="s">
        <v>544</v>
      </c>
      <c r="D833" t="s">
        <v>595</v>
      </c>
      <c r="E833" t="s">
        <v>596</v>
      </c>
      <c r="F833">
        <v>182872</v>
      </c>
      <c r="G833" t="s">
        <v>2593</v>
      </c>
      <c r="H833" t="s">
        <v>196</v>
      </c>
      <c r="I833">
        <v>8</v>
      </c>
      <c r="J833" t="s">
        <v>2594</v>
      </c>
      <c r="K833" t="s">
        <v>2586</v>
      </c>
    </row>
    <row r="834" spans="1:11" x14ac:dyDescent="0.35">
      <c r="A834" t="s">
        <v>2586</v>
      </c>
      <c r="B834" t="s">
        <v>2586</v>
      </c>
      <c r="C834" t="s">
        <v>544</v>
      </c>
      <c r="D834" t="s">
        <v>545</v>
      </c>
      <c r="E834" t="s">
        <v>546</v>
      </c>
      <c r="F834">
        <v>119836</v>
      </c>
      <c r="G834" t="s">
        <v>2595</v>
      </c>
      <c r="H834" t="s">
        <v>196</v>
      </c>
      <c r="I834">
        <v>7</v>
      </c>
      <c r="J834" t="s">
        <v>2596</v>
      </c>
      <c r="K834" t="s">
        <v>2586</v>
      </c>
    </row>
    <row r="835" spans="1:11" x14ac:dyDescent="0.35">
      <c r="A835" t="s">
        <v>2586</v>
      </c>
      <c r="B835" t="s">
        <v>2586</v>
      </c>
      <c r="C835" t="s">
        <v>544</v>
      </c>
      <c r="D835" t="s">
        <v>2597</v>
      </c>
      <c r="E835" t="s">
        <v>2598</v>
      </c>
      <c r="F835">
        <v>125382</v>
      </c>
      <c r="G835" t="s">
        <v>2599</v>
      </c>
      <c r="H835" t="s">
        <v>196</v>
      </c>
      <c r="I835">
        <v>7</v>
      </c>
      <c r="J835" t="s">
        <v>2600</v>
      </c>
      <c r="K835" t="s">
        <v>2586</v>
      </c>
    </row>
    <row r="836" spans="1:11" x14ac:dyDescent="0.35">
      <c r="A836" t="s">
        <v>2586</v>
      </c>
      <c r="B836" t="s">
        <v>2586</v>
      </c>
      <c r="C836" t="s">
        <v>544</v>
      </c>
      <c r="D836" t="s">
        <v>561</v>
      </c>
      <c r="E836" t="s">
        <v>562</v>
      </c>
      <c r="F836">
        <v>129646</v>
      </c>
      <c r="G836" t="s">
        <v>2601</v>
      </c>
      <c r="H836" t="s">
        <v>196</v>
      </c>
      <c r="I836">
        <v>6</v>
      </c>
      <c r="J836" t="s">
        <v>2602</v>
      </c>
      <c r="K836" t="s">
        <v>2586</v>
      </c>
    </row>
    <row r="837" spans="1:11" x14ac:dyDescent="0.35">
      <c r="A837" t="s">
        <v>2586</v>
      </c>
      <c r="B837" t="s">
        <v>2586</v>
      </c>
      <c r="C837" t="s">
        <v>544</v>
      </c>
      <c r="D837" t="s">
        <v>2603</v>
      </c>
      <c r="E837" t="s">
        <v>2604</v>
      </c>
      <c r="F837">
        <v>209548</v>
      </c>
      <c r="G837" t="s">
        <v>2605</v>
      </c>
      <c r="H837" t="s">
        <v>196</v>
      </c>
      <c r="I837">
        <v>5</v>
      </c>
      <c r="K837" t="s">
        <v>2586</v>
      </c>
    </row>
    <row r="838" spans="1:11" x14ac:dyDescent="0.35">
      <c r="A838" t="s">
        <v>2586</v>
      </c>
      <c r="B838" t="s">
        <v>2586</v>
      </c>
      <c r="C838" t="s">
        <v>544</v>
      </c>
      <c r="D838" t="s">
        <v>2606</v>
      </c>
      <c r="E838" t="s">
        <v>2607</v>
      </c>
      <c r="F838">
        <v>117439</v>
      </c>
      <c r="G838" t="s">
        <v>2608</v>
      </c>
      <c r="H838" t="s">
        <v>196</v>
      </c>
      <c r="I838">
        <v>4</v>
      </c>
      <c r="K838" t="s">
        <v>2586</v>
      </c>
    </row>
    <row r="839" spans="1:11" x14ac:dyDescent="0.35">
      <c r="A839" t="s">
        <v>2586</v>
      </c>
      <c r="B839" t="s">
        <v>2586</v>
      </c>
      <c r="C839" t="s">
        <v>544</v>
      </c>
      <c r="D839" t="s">
        <v>2609</v>
      </c>
      <c r="E839" t="s">
        <v>2610</v>
      </c>
      <c r="F839">
        <v>130101</v>
      </c>
      <c r="G839" t="s">
        <v>2611</v>
      </c>
      <c r="H839" t="s">
        <v>196</v>
      </c>
      <c r="I839">
        <v>3</v>
      </c>
      <c r="K839" t="s">
        <v>2586</v>
      </c>
    </row>
    <row r="840" spans="1:11" x14ac:dyDescent="0.35">
      <c r="A840" t="s">
        <v>2586</v>
      </c>
      <c r="B840" t="s">
        <v>2586</v>
      </c>
      <c r="C840" t="s">
        <v>544</v>
      </c>
      <c r="D840" t="s">
        <v>2612</v>
      </c>
      <c r="E840" t="s">
        <v>2613</v>
      </c>
      <c r="F840">
        <v>81354</v>
      </c>
      <c r="G840" t="s">
        <v>2614</v>
      </c>
      <c r="H840" t="s">
        <v>196</v>
      </c>
      <c r="I840">
        <v>3</v>
      </c>
      <c r="K840" t="s">
        <v>2586</v>
      </c>
    </row>
    <row r="841" spans="1:11" x14ac:dyDescent="0.35">
      <c r="A841" t="s">
        <v>2615</v>
      </c>
      <c r="B841" t="s">
        <v>2616</v>
      </c>
      <c r="C841" t="s">
        <v>198</v>
      </c>
      <c r="D841" t="s">
        <v>207</v>
      </c>
      <c r="E841" t="s">
        <v>208</v>
      </c>
      <c r="F841">
        <v>14.39</v>
      </c>
      <c r="G841" t="s">
        <v>2617</v>
      </c>
      <c r="H841" t="s">
        <v>43</v>
      </c>
      <c r="I841">
        <v>4141</v>
      </c>
      <c r="J841" t="s">
        <v>2618</v>
      </c>
      <c r="K841" t="s">
        <v>2615</v>
      </c>
    </row>
    <row r="842" spans="1:11" x14ac:dyDescent="0.35">
      <c r="A842" t="s">
        <v>2615</v>
      </c>
      <c r="B842" t="s">
        <v>2616</v>
      </c>
      <c r="C842" t="s">
        <v>198</v>
      </c>
      <c r="D842" t="s">
        <v>221</v>
      </c>
      <c r="E842" t="s">
        <v>222</v>
      </c>
      <c r="F842">
        <v>12.46</v>
      </c>
      <c r="G842" t="s">
        <v>2355</v>
      </c>
      <c r="H842" t="s">
        <v>43</v>
      </c>
      <c r="I842">
        <v>97</v>
      </c>
      <c r="J842" t="s">
        <v>2619</v>
      </c>
      <c r="K842" t="s">
        <v>2615</v>
      </c>
    </row>
    <row r="843" spans="1:11" x14ac:dyDescent="0.35">
      <c r="A843" t="s">
        <v>2615</v>
      </c>
      <c r="B843" t="s">
        <v>2616</v>
      </c>
      <c r="C843" t="s">
        <v>198</v>
      </c>
      <c r="D843" t="s">
        <v>2620</v>
      </c>
      <c r="E843" t="s">
        <v>2621</v>
      </c>
      <c r="F843">
        <v>60122</v>
      </c>
      <c r="G843" t="s">
        <v>2622</v>
      </c>
      <c r="H843" t="s">
        <v>196</v>
      </c>
      <c r="I843">
        <v>5</v>
      </c>
      <c r="K843" t="s">
        <v>2615</v>
      </c>
    </row>
    <row r="844" spans="1:11" x14ac:dyDescent="0.35">
      <c r="A844" t="s">
        <v>2615</v>
      </c>
      <c r="B844" t="s">
        <v>2616</v>
      </c>
      <c r="C844" t="s">
        <v>198</v>
      </c>
      <c r="D844" t="s">
        <v>2271</v>
      </c>
      <c r="E844" t="s">
        <v>2272</v>
      </c>
      <c r="F844">
        <v>14.21</v>
      </c>
      <c r="G844" t="s">
        <v>2623</v>
      </c>
      <c r="H844" t="s">
        <v>43</v>
      </c>
      <c r="I844">
        <v>6</v>
      </c>
      <c r="J844" t="s">
        <v>2624</v>
      </c>
      <c r="K844" t="s">
        <v>2615</v>
      </c>
    </row>
    <row r="845" spans="1:11" x14ac:dyDescent="0.35">
      <c r="A845" t="s">
        <v>2615</v>
      </c>
      <c r="B845" t="s">
        <v>2616</v>
      </c>
      <c r="C845" t="s">
        <v>198</v>
      </c>
      <c r="D845" t="s">
        <v>1573</v>
      </c>
      <c r="E845" t="s">
        <v>1574</v>
      </c>
      <c r="F845">
        <v>15.42</v>
      </c>
      <c r="G845" t="s">
        <v>2625</v>
      </c>
      <c r="H845" t="s">
        <v>43</v>
      </c>
      <c r="I845">
        <v>5</v>
      </c>
      <c r="K845" t="s">
        <v>2615</v>
      </c>
    </row>
    <row r="846" spans="1:11" x14ac:dyDescent="0.35">
      <c r="A846" t="s">
        <v>2615</v>
      </c>
      <c r="B846" t="s">
        <v>2616</v>
      </c>
      <c r="C846" t="s">
        <v>198</v>
      </c>
      <c r="D846" t="s">
        <v>203</v>
      </c>
      <c r="E846" t="s">
        <v>204</v>
      </c>
      <c r="F846">
        <v>16</v>
      </c>
      <c r="G846" t="s">
        <v>1634</v>
      </c>
      <c r="H846" t="s">
        <v>43</v>
      </c>
      <c r="I846">
        <v>16</v>
      </c>
      <c r="J846" t="s">
        <v>2626</v>
      </c>
      <c r="K846" t="s">
        <v>2615</v>
      </c>
    </row>
    <row r="847" spans="1:11" x14ac:dyDescent="0.35">
      <c r="A847" t="s">
        <v>2615</v>
      </c>
      <c r="B847" t="s">
        <v>2616</v>
      </c>
      <c r="C847" t="s">
        <v>198</v>
      </c>
      <c r="D847" t="s">
        <v>2627</v>
      </c>
      <c r="E847" t="s">
        <v>2628</v>
      </c>
      <c r="F847">
        <v>12.7</v>
      </c>
      <c r="G847" t="s">
        <v>2099</v>
      </c>
      <c r="H847" t="s">
        <v>43</v>
      </c>
      <c r="I847">
        <v>5</v>
      </c>
      <c r="K847" t="s">
        <v>2615</v>
      </c>
    </row>
    <row r="848" spans="1:11" x14ac:dyDescent="0.35">
      <c r="A848" t="s">
        <v>2615</v>
      </c>
      <c r="B848" t="s">
        <v>2616</v>
      </c>
      <c r="C848" t="s">
        <v>198</v>
      </c>
      <c r="D848" t="s">
        <v>2629</v>
      </c>
      <c r="E848" t="s">
        <v>2630</v>
      </c>
      <c r="F848">
        <v>13.17</v>
      </c>
      <c r="G848" t="s">
        <v>2631</v>
      </c>
      <c r="H848" t="s">
        <v>43</v>
      </c>
      <c r="I848">
        <v>6</v>
      </c>
      <c r="J848" t="s">
        <v>2632</v>
      </c>
      <c r="K848" t="s">
        <v>2615</v>
      </c>
    </row>
    <row r="849" spans="1:11" x14ac:dyDescent="0.35">
      <c r="A849" t="s">
        <v>2615</v>
      </c>
      <c r="B849" t="s">
        <v>2616</v>
      </c>
      <c r="C849" t="s">
        <v>198</v>
      </c>
      <c r="D849" t="s">
        <v>199</v>
      </c>
      <c r="E849" t="s">
        <v>200</v>
      </c>
      <c r="F849">
        <v>50847</v>
      </c>
      <c r="G849" t="s">
        <v>2633</v>
      </c>
      <c r="H849" t="s">
        <v>196</v>
      </c>
      <c r="I849">
        <v>5</v>
      </c>
      <c r="K849" t="s">
        <v>2615</v>
      </c>
    </row>
    <row r="850" spans="1:11" x14ac:dyDescent="0.35">
      <c r="A850" t="s">
        <v>2615</v>
      </c>
      <c r="B850" t="s">
        <v>2616</v>
      </c>
      <c r="C850" t="s">
        <v>1085</v>
      </c>
      <c r="D850" t="s">
        <v>1098</v>
      </c>
      <c r="E850" t="s">
        <v>1099</v>
      </c>
      <c r="F850">
        <v>12.04</v>
      </c>
      <c r="G850" t="s">
        <v>2634</v>
      </c>
      <c r="H850" t="s">
        <v>43</v>
      </c>
      <c r="I850">
        <v>123</v>
      </c>
      <c r="J850" t="s">
        <v>2635</v>
      </c>
      <c r="K850" t="s">
        <v>2615</v>
      </c>
    </row>
    <row r="851" spans="1:11" x14ac:dyDescent="0.35">
      <c r="A851" t="s">
        <v>2636</v>
      </c>
      <c r="B851" t="s">
        <v>2637</v>
      </c>
      <c r="C851" t="s">
        <v>80</v>
      </c>
      <c r="D851" t="s">
        <v>81</v>
      </c>
      <c r="E851" t="s">
        <v>82</v>
      </c>
      <c r="F851">
        <v>19.399999999999999</v>
      </c>
      <c r="G851" t="s">
        <v>2638</v>
      </c>
      <c r="H851" t="s">
        <v>43</v>
      </c>
      <c r="I851">
        <v>70</v>
      </c>
      <c r="J851" t="s">
        <v>2639</v>
      </c>
      <c r="K851" t="s">
        <v>2636</v>
      </c>
    </row>
    <row r="852" spans="1:11" x14ac:dyDescent="0.35">
      <c r="A852" t="s">
        <v>2636</v>
      </c>
      <c r="B852" t="s">
        <v>2637</v>
      </c>
      <c r="C852" t="s">
        <v>80</v>
      </c>
      <c r="D852" t="s">
        <v>96</v>
      </c>
      <c r="E852" t="s">
        <v>97</v>
      </c>
      <c r="F852">
        <v>19.440000000000001</v>
      </c>
      <c r="G852" t="s">
        <v>2640</v>
      </c>
      <c r="H852" t="s">
        <v>43</v>
      </c>
      <c r="I852">
        <v>20</v>
      </c>
      <c r="J852" t="s">
        <v>2641</v>
      </c>
      <c r="K852" t="s">
        <v>2636</v>
      </c>
    </row>
    <row r="853" spans="1:11" x14ac:dyDescent="0.35">
      <c r="A853" t="s">
        <v>2636</v>
      </c>
      <c r="B853" t="s">
        <v>2637</v>
      </c>
      <c r="C853" t="s">
        <v>80</v>
      </c>
      <c r="D853" t="s">
        <v>2550</v>
      </c>
      <c r="E853" t="s">
        <v>2551</v>
      </c>
      <c r="F853">
        <v>28.8</v>
      </c>
      <c r="G853" t="s">
        <v>1984</v>
      </c>
      <c r="H853" t="s">
        <v>43</v>
      </c>
      <c r="I853">
        <v>2</v>
      </c>
      <c r="K853" t="s">
        <v>2636</v>
      </c>
    </row>
    <row r="854" spans="1:11" x14ac:dyDescent="0.35">
      <c r="A854" t="s">
        <v>2636</v>
      </c>
      <c r="B854" t="s">
        <v>2637</v>
      </c>
      <c r="C854" t="s">
        <v>80</v>
      </c>
      <c r="D854" t="s">
        <v>293</v>
      </c>
      <c r="E854" t="s">
        <v>294</v>
      </c>
      <c r="F854">
        <v>20.27</v>
      </c>
      <c r="G854" t="s">
        <v>2642</v>
      </c>
      <c r="H854" t="s">
        <v>43</v>
      </c>
      <c r="I854">
        <v>13</v>
      </c>
      <c r="J854" t="s">
        <v>2643</v>
      </c>
      <c r="K854" t="s">
        <v>2636</v>
      </c>
    </row>
    <row r="855" spans="1:11" x14ac:dyDescent="0.35">
      <c r="A855" t="s">
        <v>2636</v>
      </c>
      <c r="B855" t="s">
        <v>2637</v>
      </c>
      <c r="C855" t="s">
        <v>80</v>
      </c>
      <c r="D855" t="s">
        <v>2644</v>
      </c>
      <c r="E855" t="s">
        <v>2645</v>
      </c>
      <c r="F855">
        <v>71894</v>
      </c>
      <c r="G855" t="s">
        <v>2646</v>
      </c>
      <c r="H855" t="s">
        <v>196</v>
      </c>
      <c r="I855">
        <v>11</v>
      </c>
      <c r="J855" t="s">
        <v>2647</v>
      </c>
      <c r="K855" t="s">
        <v>2636</v>
      </c>
    </row>
    <row r="856" spans="1:11" x14ac:dyDescent="0.35">
      <c r="A856" t="s">
        <v>2636</v>
      </c>
      <c r="B856" t="s">
        <v>2637</v>
      </c>
      <c r="C856" t="s">
        <v>80</v>
      </c>
      <c r="D856" t="s">
        <v>283</v>
      </c>
      <c r="E856" t="s">
        <v>284</v>
      </c>
      <c r="F856">
        <v>21.43</v>
      </c>
      <c r="G856" t="s">
        <v>2648</v>
      </c>
      <c r="H856" t="s">
        <v>43</v>
      </c>
      <c r="I856">
        <v>6</v>
      </c>
      <c r="J856" t="s">
        <v>2649</v>
      </c>
      <c r="K856" t="s">
        <v>2636</v>
      </c>
    </row>
    <row r="857" spans="1:11" x14ac:dyDescent="0.35">
      <c r="A857" t="s">
        <v>2636</v>
      </c>
      <c r="B857" t="s">
        <v>2637</v>
      </c>
      <c r="C857" t="s">
        <v>80</v>
      </c>
      <c r="D857" t="s">
        <v>2194</v>
      </c>
      <c r="E857" t="s">
        <v>2195</v>
      </c>
      <c r="F857">
        <v>15.28</v>
      </c>
      <c r="G857" t="s">
        <v>2650</v>
      </c>
      <c r="H857" t="s">
        <v>43</v>
      </c>
      <c r="I857">
        <v>8</v>
      </c>
      <c r="J857" t="s">
        <v>2651</v>
      </c>
      <c r="K857" t="s">
        <v>2636</v>
      </c>
    </row>
    <row r="858" spans="1:11" x14ac:dyDescent="0.35">
      <c r="A858" t="s">
        <v>2636</v>
      </c>
      <c r="B858" t="s">
        <v>2637</v>
      </c>
      <c r="C858" t="s">
        <v>80</v>
      </c>
      <c r="D858" t="s">
        <v>2547</v>
      </c>
      <c r="E858" t="s">
        <v>2548</v>
      </c>
      <c r="F858">
        <v>18.170000000000002</v>
      </c>
      <c r="G858" t="s">
        <v>2652</v>
      </c>
      <c r="H858" t="s">
        <v>43</v>
      </c>
      <c r="I858">
        <v>6</v>
      </c>
      <c r="J858" t="s">
        <v>2653</v>
      </c>
      <c r="K858" t="s">
        <v>2636</v>
      </c>
    </row>
    <row r="859" spans="1:11" x14ac:dyDescent="0.35">
      <c r="A859" t="s">
        <v>2636</v>
      </c>
      <c r="B859" t="s">
        <v>2637</v>
      </c>
      <c r="C859" t="s">
        <v>80</v>
      </c>
      <c r="D859" t="s">
        <v>2654</v>
      </c>
      <c r="E859" t="s">
        <v>2655</v>
      </c>
      <c r="F859">
        <v>82641</v>
      </c>
      <c r="G859" t="s">
        <v>2656</v>
      </c>
      <c r="H859" t="s">
        <v>196</v>
      </c>
      <c r="I859">
        <v>9</v>
      </c>
      <c r="J859" t="s">
        <v>2657</v>
      </c>
      <c r="K859" t="s">
        <v>2636</v>
      </c>
    </row>
    <row r="860" spans="1:11" x14ac:dyDescent="0.35">
      <c r="A860" t="s">
        <v>2636</v>
      </c>
      <c r="B860" t="s">
        <v>2637</v>
      </c>
      <c r="C860" t="s">
        <v>80</v>
      </c>
      <c r="D860" t="s">
        <v>2658</v>
      </c>
      <c r="E860" t="s">
        <v>2659</v>
      </c>
      <c r="F860">
        <v>96172</v>
      </c>
      <c r="G860" t="s">
        <v>2660</v>
      </c>
      <c r="H860" t="s">
        <v>196</v>
      </c>
      <c r="I860">
        <v>8</v>
      </c>
      <c r="J860" t="s">
        <v>2661</v>
      </c>
      <c r="K860" t="s">
        <v>2636</v>
      </c>
    </row>
    <row r="861" spans="1:11" x14ac:dyDescent="0.35">
      <c r="A861" t="s">
        <v>2662</v>
      </c>
      <c r="B861" t="s">
        <v>2663</v>
      </c>
      <c r="C861" t="s">
        <v>235</v>
      </c>
      <c r="D861" t="s">
        <v>1868</v>
      </c>
      <c r="E861" t="s">
        <v>1869</v>
      </c>
      <c r="F861">
        <v>27.95</v>
      </c>
      <c r="G861" t="s">
        <v>2664</v>
      </c>
      <c r="H861" t="s">
        <v>43</v>
      </c>
      <c r="I861">
        <v>61</v>
      </c>
      <c r="J861" t="s">
        <v>2665</v>
      </c>
      <c r="K861" t="s">
        <v>2663</v>
      </c>
    </row>
    <row r="862" spans="1:11" x14ac:dyDescent="0.35">
      <c r="A862" t="s">
        <v>2662</v>
      </c>
      <c r="B862" t="s">
        <v>2663</v>
      </c>
      <c r="C862" t="s">
        <v>235</v>
      </c>
      <c r="D862" t="s">
        <v>1857</v>
      </c>
      <c r="E862" t="s">
        <v>1858</v>
      </c>
      <c r="F862">
        <v>31.62</v>
      </c>
      <c r="G862" t="s">
        <v>2666</v>
      </c>
      <c r="H862" t="s">
        <v>43</v>
      </c>
      <c r="I862">
        <v>273</v>
      </c>
      <c r="J862" t="s">
        <v>2667</v>
      </c>
      <c r="K862" t="s">
        <v>2663</v>
      </c>
    </row>
    <row r="863" spans="1:11" x14ac:dyDescent="0.35">
      <c r="A863" t="s">
        <v>2662</v>
      </c>
      <c r="B863" t="s">
        <v>2663</v>
      </c>
      <c r="C863" t="s">
        <v>235</v>
      </c>
      <c r="D863" t="s">
        <v>1906</v>
      </c>
      <c r="E863" t="s">
        <v>1907</v>
      </c>
      <c r="F863">
        <v>35.01</v>
      </c>
      <c r="G863" t="s">
        <v>2668</v>
      </c>
      <c r="H863" t="s">
        <v>43</v>
      </c>
      <c r="I863">
        <v>9</v>
      </c>
      <c r="J863" t="s">
        <v>2669</v>
      </c>
      <c r="K863" t="s">
        <v>2663</v>
      </c>
    </row>
    <row r="864" spans="1:11" x14ac:dyDescent="0.35">
      <c r="A864" t="s">
        <v>2662</v>
      </c>
      <c r="B864" t="s">
        <v>2663</v>
      </c>
      <c r="C864" t="s">
        <v>235</v>
      </c>
      <c r="D864" t="s">
        <v>866</v>
      </c>
      <c r="E864" t="s">
        <v>867</v>
      </c>
      <c r="F864">
        <v>28.52</v>
      </c>
      <c r="G864" t="s">
        <v>2670</v>
      </c>
      <c r="H864" t="s">
        <v>43</v>
      </c>
      <c r="I864">
        <v>35</v>
      </c>
      <c r="J864" t="s">
        <v>2671</v>
      </c>
      <c r="K864" t="s">
        <v>2663</v>
      </c>
    </row>
    <row r="865" spans="1:11" x14ac:dyDescent="0.35">
      <c r="A865" t="s">
        <v>2662</v>
      </c>
      <c r="B865" t="s">
        <v>2663</v>
      </c>
      <c r="C865" t="s">
        <v>235</v>
      </c>
      <c r="D865" t="s">
        <v>255</v>
      </c>
      <c r="E865" t="s">
        <v>256</v>
      </c>
      <c r="F865">
        <v>24.79</v>
      </c>
      <c r="G865" t="s">
        <v>2672</v>
      </c>
      <c r="H865" t="s">
        <v>43</v>
      </c>
      <c r="I865">
        <v>16</v>
      </c>
      <c r="J865" t="s">
        <v>2673</v>
      </c>
      <c r="K865" t="s">
        <v>2663</v>
      </c>
    </row>
    <row r="866" spans="1:11" x14ac:dyDescent="0.35">
      <c r="A866" t="s">
        <v>2662</v>
      </c>
      <c r="B866" t="s">
        <v>2663</v>
      </c>
      <c r="C866" t="s">
        <v>235</v>
      </c>
      <c r="D866" t="s">
        <v>2674</v>
      </c>
      <c r="E866" t="s">
        <v>2675</v>
      </c>
      <c r="F866">
        <v>109050</v>
      </c>
      <c r="G866" t="s">
        <v>2676</v>
      </c>
      <c r="H866" t="s">
        <v>196</v>
      </c>
      <c r="I866">
        <v>10</v>
      </c>
      <c r="J866" t="s">
        <v>2677</v>
      </c>
      <c r="K866" t="s">
        <v>2663</v>
      </c>
    </row>
    <row r="867" spans="1:11" x14ac:dyDescent="0.35">
      <c r="A867" t="s">
        <v>2662</v>
      </c>
      <c r="B867" t="s">
        <v>2663</v>
      </c>
      <c r="C867" t="s">
        <v>235</v>
      </c>
      <c r="D867" t="s">
        <v>252</v>
      </c>
      <c r="E867" t="s">
        <v>253</v>
      </c>
      <c r="F867">
        <v>228609</v>
      </c>
      <c r="G867" t="s">
        <v>2678</v>
      </c>
      <c r="H867" t="s">
        <v>196</v>
      </c>
      <c r="I867">
        <v>7</v>
      </c>
      <c r="J867" t="s">
        <v>2679</v>
      </c>
      <c r="K867" t="s">
        <v>2663</v>
      </c>
    </row>
    <row r="868" spans="1:11" x14ac:dyDescent="0.35">
      <c r="A868" t="s">
        <v>2662</v>
      </c>
      <c r="B868" t="s">
        <v>2663</v>
      </c>
      <c r="C868" t="s">
        <v>235</v>
      </c>
      <c r="D868" t="s">
        <v>236</v>
      </c>
      <c r="E868" t="s">
        <v>237</v>
      </c>
      <c r="F868">
        <v>122871</v>
      </c>
      <c r="G868" t="s">
        <v>2680</v>
      </c>
      <c r="H868" t="s">
        <v>196</v>
      </c>
      <c r="I868">
        <v>6</v>
      </c>
      <c r="J868" t="s">
        <v>2681</v>
      </c>
      <c r="K868" t="s">
        <v>2663</v>
      </c>
    </row>
    <row r="869" spans="1:11" x14ac:dyDescent="0.35">
      <c r="A869" t="s">
        <v>2662</v>
      </c>
      <c r="B869" t="s">
        <v>2663</v>
      </c>
      <c r="C869" t="s">
        <v>235</v>
      </c>
      <c r="D869" t="s">
        <v>2682</v>
      </c>
      <c r="E869" t="s">
        <v>2683</v>
      </c>
      <c r="F869">
        <v>28.21</v>
      </c>
      <c r="G869" t="s">
        <v>2684</v>
      </c>
      <c r="H869" t="s">
        <v>43</v>
      </c>
      <c r="I869">
        <v>4</v>
      </c>
      <c r="K869" t="s">
        <v>2663</v>
      </c>
    </row>
    <row r="870" spans="1:11" x14ac:dyDescent="0.35">
      <c r="A870" t="s">
        <v>2662</v>
      </c>
      <c r="B870" t="s">
        <v>2663</v>
      </c>
      <c r="C870" t="s">
        <v>235</v>
      </c>
      <c r="D870" t="s">
        <v>2685</v>
      </c>
      <c r="E870" t="s">
        <v>2686</v>
      </c>
      <c r="F870">
        <v>150747</v>
      </c>
      <c r="G870" t="s">
        <v>2687</v>
      </c>
      <c r="H870" t="s">
        <v>196</v>
      </c>
      <c r="I870">
        <v>4</v>
      </c>
      <c r="K870" t="s">
        <v>2663</v>
      </c>
    </row>
    <row r="871" spans="1:11" x14ac:dyDescent="0.35">
      <c r="A871" t="s">
        <v>2688</v>
      </c>
      <c r="B871" t="s">
        <v>2688</v>
      </c>
      <c r="C871" t="s">
        <v>39</v>
      </c>
      <c r="D871" t="s">
        <v>40</v>
      </c>
      <c r="E871" t="s">
        <v>41</v>
      </c>
      <c r="F871">
        <v>20.09</v>
      </c>
      <c r="G871" t="s">
        <v>149</v>
      </c>
      <c r="H871" t="s">
        <v>43</v>
      </c>
      <c r="I871">
        <v>90</v>
      </c>
      <c r="J871" t="s">
        <v>2689</v>
      </c>
      <c r="K871" t="s">
        <v>2688</v>
      </c>
    </row>
    <row r="872" spans="1:11" x14ac:dyDescent="0.35">
      <c r="A872" t="s">
        <v>2688</v>
      </c>
      <c r="B872" t="s">
        <v>2688</v>
      </c>
      <c r="C872" t="s">
        <v>39</v>
      </c>
      <c r="D872" t="s">
        <v>45</v>
      </c>
      <c r="E872" t="s">
        <v>46</v>
      </c>
      <c r="F872">
        <v>22.29</v>
      </c>
      <c r="G872" t="s">
        <v>2690</v>
      </c>
      <c r="H872" t="s">
        <v>43</v>
      </c>
      <c r="I872">
        <v>7</v>
      </c>
      <c r="J872" t="s">
        <v>2691</v>
      </c>
      <c r="K872" t="s">
        <v>2688</v>
      </c>
    </row>
    <row r="873" spans="1:11" x14ac:dyDescent="0.35">
      <c r="A873" t="s">
        <v>2688</v>
      </c>
      <c r="B873" t="s">
        <v>2688</v>
      </c>
      <c r="C873" t="s">
        <v>39</v>
      </c>
      <c r="D873" t="s">
        <v>60</v>
      </c>
      <c r="E873" t="s">
        <v>61</v>
      </c>
      <c r="F873">
        <v>19.72</v>
      </c>
      <c r="G873" t="s">
        <v>2692</v>
      </c>
      <c r="H873" t="s">
        <v>43</v>
      </c>
      <c r="I873">
        <v>18</v>
      </c>
      <c r="J873" t="s">
        <v>2693</v>
      </c>
      <c r="K873" t="s">
        <v>2688</v>
      </c>
    </row>
    <row r="874" spans="1:11" x14ac:dyDescent="0.35">
      <c r="A874" t="s">
        <v>2688</v>
      </c>
      <c r="B874" t="s">
        <v>2688</v>
      </c>
      <c r="C874" t="s">
        <v>39</v>
      </c>
      <c r="D874" t="s">
        <v>53</v>
      </c>
      <c r="E874" t="s">
        <v>54</v>
      </c>
      <c r="F874">
        <v>68</v>
      </c>
      <c r="G874" t="s">
        <v>2694</v>
      </c>
      <c r="H874" t="s">
        <v>43</v>
      </c>
      <c r="I874">
        <v>9</v>
      </c>
      <c r="J874" t="s">
        <v>2695</v>
      </c>
      <c r="K874" t="s">
        <v>2688</v>
      </c>
    </row>
    <row r="875" spans="1:11" x14ac:dyDescent="0.35">
      <c r="A875" t="s">
        <v>2688</v>
      </c>
      <c r="B875" t="s">
        <v>2688</v>
      </c>
      <c r="C875" t="s">
        <v>39</v>
      </c>
      <c r="D875" t="s">
        <v>72</v>
      </c>
      <c r="E875" t="s">
        <v>73</v>
      </c>
      <c r="F875">
        <v>21.02</v>
      </c>
      <c r="G875" t="s">
        <v>2696</v>
      </c>
      <c r="H875" t="s">
        <v>43</v>
      </c>
      <c r="I875">
        <v>46</v>
      </c>
      <c r="J875" t="s">
        <v>2697</v>
      </c>
      <c r="K875" t="s">
        <v>2688</v>
      </c>
    </row>
    <row r="876" spans="1:11" x14ac:dyDescent="0.35">
      <c r="A876" t="s">
        <v>2688</v>
      </c>
      <c r="B876" t="s">
        <v>2688</v>
      </c>
      <c r="C876" t="s">
        <v>39</v>
      </c>
      <c r="D876" t="s">
        <v>49</v>
      </c>
      <c r="E876" t="s">
        <v>50</v>
      </c>
      <c r="F876">
        <v>67.209999999999994</v>
      </c>
      <c r="G876" t="s">
        <v>2698</v>
      </c>
      <c r="H876" t="s">
        <v>43</v>
      </c>
      <c r="I876">
        <v>6</v>
      </c>
      <c r="J876" t="s">
        <v>2699</v>
      </c>
      <c r="K876" t="s">
        <v>2688</v>
      </c>
    </row>
    <row r="877" spans="1:11" x14ac:dyDescent="0.35">
      <c r="A877" t="s">
        <v>2688</v>
      </c>
      <c r="B877" t="s">
        <v>2688</v>
      </c>
      <c r="C877" t="s">
        <v>39</v>
      </c>
      <c r="D877" t="s">
        <v>57</v>
      </c>
      <c r="E877" t="s">
        <v>58</v>
      </c>
      <c r="F877">
        <v>71.84</v>
      </c>
      <c r="G877" t="s">
        <v>2700</v>
      </c>
      <c r="H877" t="s">
        <v>43</v>
      </c>
      <c r="I877">
        <v>9</v>
      </c>
      <c r="J877" t="s">
        <v>2701</v>
      </c>
      <c r="K877" t="s">
        <v>2688</v>
      </c>
    </row>
    <row r="878" spans="1:11" x14ac:dyDescent="0.35">
      <c r="A878" t="s">
        <v>2688</v>
      </c>
      <c r="B878" t="s">
        <v>2688</v>
      </c>
      <c r="C878" t="s">
        <v>39</v>
      </c>
      <c r="D878" t="s">
        <v>64</v>
      </c>
      <c r="E878" t="s">
        <v>65</v>
      </c>
      <c r="F878">
        <v>19.52</v>
      </c>
      <c r="G878" t="s">
        <v>2702</v>
      </c>
      <c r="H878" t="s">
        <v>43</v>
      </c>
      <c r="I878">
        <v>10</v>
      </c>
      <c r="J878" t="s">
        <v>2703</v>
      </c>
      <c r="K878" t="s">
        <v>2688</v>
      </c>
    </row>
    <row r="879" spans="1:11" x14ac:dyDescent="0.35">
      <c r="A879" t="s">
        <v>2688</v>
      </c>
      <c r="B879" t="s">
        <v>2688</v>
      </c>
      <c r="C879" t="s">
        <v>39</v>
      </c>
      <c r="D879" t="s">
        <v>2704</v>
      </c>
      <c r="E879" t="s">
        <v>2705</v>
      </c>
      <c r="F879">
        <v>18.72</v>
      </c>
      <c r="G879" t="s">
        <v>2706</v>
      </c>
      <c r="H879" t="s">
        <v>43</v>
      </c>
      <c r="I879">
        <v>2</v>
      </c>
      <c r="K879" t="s">
        <v>2688</v>
      </c>
    </row>
    <row r="880" spans="1:11" x14ac:dyDescent="0.35">
      <c r="A880" t="s">
        <v>2688</v>
      </c>
      <c r="B880" t="s">
        <v>2688</v>
      </c>
      <c r="C880" t="s">
        <v>39</v>
      </c>
      <c r="D880" t="s">
        <v>2707</v>
      </c>
      <c r="E880" t="s">
        <v>2708</v>
      </c>
      <c r="F880">
        <v>18.07</v>
      </c>
      <c r="G880" t="s">
        <v>102</v>
      </c>
      <c r="H880" t="s">
        <v>43</v>
      </c>
      <c r="I880">
        <v>1</v>
      </c>
      <c r="K880" t="s">
        <v>2688</v>
      </c>
    </row>
    <row r="881" spans="1:11" x14ac:dyDescent="0.35">
      <c r="A881" t="s">
        <v>2709</v>
      </c>
      <c r="B881" t="s">
        <v>2709</v>
      </c>
      <c r="C881" t="s">
        <v>39</v>
      </c>
      <c r="D881" t="s">
        <v>40</v>
      </c>
      <c r="E881" t="s">
        <v>41</v>
      </c>
      <c r="F881">
        <v>19.22</v>
      </c>
      <c r="G881" t="s">
        <v>2710</v>
      </c>
      <c r="H881" t="s">
        <v>43</v>
      </c>
      <c r="I881">
        <v>276</v>
      </c>
      <c r="J881" t="s">
        <v>2711</v>
      </c>
      <c r="K881" t="s">
        <v>2709</v>
      </c>
    </row>
    <row r="882" spans="1:11" x14ac:dyDescent="0.35">
      <c r="A882" t="s">
        <v>2709</v>
      </c>
      <c r="B882" t="s">
        <v>2709</v>
      </c>
      <c r="C882" t="s">
        <v>39</v>
      </c>
      <c r="D882" t="s">
        <v>45</v>
      </c>
      <c r="E882" t="s">
        <v>46</v>
      </c>
      <c r="F882">
        <v>17.57</v>
      </c>
      <c r="G882" t="s">
        <v>2712</v>
      </c>
      <c r="H882" t="s">
        <v>43</v>
      </c>
      <c r="I882">
        <v>11</v>
      </c>
      <c r="J882" t="s">
        <v>2713</v>
      </c>
      <c r="K882" t="s">
        <v>2709</v>
      </c>
    </row>
    <row r="883" spans="1:11" x14ac:dyDescent="0.35">
      <c r="A883" t="s">
        <v>2709</v>
      </c>
      <c r="B883" t="s">
        <v>2709</v>
      </c>
      <c r="C883" t="s">
        <v>39</v>
      </c>
      <c r="D883" t="s">
        <v>72</v>
      </c>
      <c r="E883" t="s">
        <v>73</v>
      </c>
      <c r="F883">
        <v>19.52</v>
      </c>
      <c r="G883" t="s">
        <v>2702</v>
      </c>
      <c r="H883" t="s">
        <v>43</v>
      </c>
      <c r="I883">
        <v>10</v>
      </c>
      <c r="J883" t="s">
        <v>2714</v>
      </c>
      <c r="K883" t="s">
        <v>2709</v>
      </c>
    </row>
    <row r="884" spans="1:11" x14ac:dyDescent="0.35">
      <c r="A884" t="s">
        <v>2709</v>
      </c>
      <c r="B884" t="s">
        <v>2709</v>
      </c>
      <c r="C884" t="s">
        <v>39</v>
      </c>
      <c r="D884" t="s">
        <v>53</v>
      </c>
      <c r="E884" t="s">
        <v>54</v>
      </c>
      <c r="F884">
        <v>67.09</v>
      </c>
      <c r="G884" t="s">
        <v>2715</v>
      </c>
      <c r="H884" t="s">
        <v>43</v>
      </c>
      <c r="I884">
        <v>5</v>
      </c>
      <c r="K884" t="s">
        <v>2709</v>
      </c>
    </row>
    <row r="885" spans="1:11" x14ac:dyDescent="0.35">
      <c r="A885" t="s">
        <v>2709</v>
      </c>
      <c r="B885" t="s">
        <v>2709</v>
      </c>
      <c r="C885" t="s">
        <v>39</v>
      </c>
      <c r="D885" t="s">
        <v>57</v>
      </c>
      <c r="E885" t="s">
        <v>58</v>
      </c>
      <c r="F885">
        <v>74.39</v>
      </c>
      <c r="G885" t="s">
        <v>2716</v>
      </c>
      <c r="H885" t="s">
        <v>43</v>
      </c>
      <c r="I885">
        <v>6</v>
      </c>
      <c r="J885" t="s">
        <v>2717</v>
      </c>
      <c r="K885" t="s">
        <v>2709</v>
      </c>
    </row>
    <row r="886" spans="1:11" x14ac:dyDescent="0.35">
      <c r="A886" t="s">
        <v>2709</v>
      </c>
      <c r="B886" t="s">
        <v>2709</v>
      </c>
      <c r="C886" t="s">
        <v>39</v>
      </c>
      <c r="D886" t="s">
        <v>49</v>
      </c>
      <c r="E886" t="s">
        <v>50</v>
      </c>
      <c r="F886">
        <v>68.09</v>
      </c>
      <c r="G886" t="s">
        <v>2718</v>
      </c>
      <c r="H886" t="s">
        <v>43</v>
      </c>
      <c r="I886">
        <v>6</v>
      </c>
      <c r="J886" t="s">
        <v>2719</v>
      </c>
      <c r="K886" t="s">
        <v>2709</v>
      </c>
    </row>
    <row r="887" spans="1:11" x14ac:dyDescent="0.35">
      <c r="A887" t="s">
        <v>2709</v>
      </c>
      <c r="B887" t="s">
        <v>2709</v>
      </c>
      <c r="C887" t="s">
        <v>39</v>
      </c>
      <c r="D887" t="s">
        <v>64</v>
      </c>
      <c r="E887" t="s">
        <v>65</v>
      </c>
      <c r="F887">
        <v>21.05</v>
      </c>
      <c r="G887" t="s">
        <v>2720</v>
      </c>
      <c r="H887" t="s">
        <v>43</v>
      </c>
      <c r="I887">
        <v>8</v>
      </c>
      <c r="J887" t="s">
        <v>2721</v>
      </c>
      <c r="K887" t="s">
        <v>2709</v>
      </c>
    </row>
    <row r="888" spans="1:11" x14ac:dyDescent="0.35">
      <c r="A888" t="s">
        <v>2709</v>
      </c>
      <c r="B888" t="s">
        <v>2709</v>
      </c>
      <c r="C888" t="s">
        <v>39</v>
      </c>
      <c r="D888" t="s">
        <v>60</v>
      </c>
      <c r="E888" t="s">
        <v>61</v>
      </c>
      <c r="F888">
        <v>20.65</v>
      </c>
      <c r="G888" t="s">
        <v>1813</v>
      </c>
      <c r="H888" t="s">
        <v>43</v>
      </c>
      <c r="I888">
        <v>7</v>
      </c>
      <c r="J888" t="s">
        <v>2722</v>
      </c>
      <c r="K888" t="s">
        <v>2709</v>
      </c>
    </row>
    <row r="889" spans="1:11" x14ac:dyDescent="0.35">
      <c r="A889" t="s">
        <v>2709</v>
      </c>
      <c r="B889" t="s">
        <v>2709</v>
      </c>
      <c r="C889" t="s">
        <v>235</v>
      </c>
      <c r="D889" t="s">
        <v>236</v>
      </c>
      <c r="E889" t="s">
        <v>237</v>
      </c>
      <c r="F889">
        <v>17.37</v>
      </c>
      <c r="G889" t="s">
        <v>2723</v>
      </c>
      <c r="H889" t="s">
        <v>43</v>
      </c>
      <c r="I889">
        <v>11</v>
      </c>
      <c r="J889" t="s">
        <v>2724</v>
      </c>
      <c r="K889" t="s">
        <v>2709</v>
      </c>
    </row>
    <row r="890" spans="1:11" x14ac:dyDescent="0.35">
      <c r="A890" t="s">
        <v>2709</v>
      </c>
      <c r="B890" t="s">
        <v>2709</v>
      </c>
      <c r="C890" t="s">
        <v>235</v>
      </c>
      <c r="D890" t="s">
        <v>2725</v>
      </c>
      <c r="E890" t="s">
        <v>2726</v>
      </c>
      <c r="F890">
        <v>16.55</v>
      </c>
      <c r="G890" t="s">
        <v>2727</v>
      </c>
      <c r="H890" t="s">
        <v>43</v>
      </c>
      <c r="I890">
        <v>10</v>
      </c>
      <c r="J890" t="s">
        <v>2728</v>
      </c>
      <c r="K890" t="s">
        <v>2709</v>
      </c>
    </row>
    <row r="891" spans="1:11" x14ac:dyDescent="0.35">
      <c r="A891" t="s">
        <v>2729</v>
      </c>
      <c r="B891" t="s">
        <v>2729</v>
      </c>
      <c r="C891" t="s">
        <v>235</v>
      </c>
      <c r="D891" t="s">
        <v>866</v>
      </c>
      <c r="E891" t="s">
        <v>867</v>
      </c>
      <c r="F891">
        <v>17.38</v>
      </c>
      <c r="G891" t="s">
        <v>2730</v>
      </c>
      <c r="H891" t="s">
        <v>43</v>
      </c>
      <c r="I891">
        <v>5</v>
      </c>
      <c r="K891" t="s">
        <v>2729</v>
      </c>
    </row>
    <row r="892" spans="1:11" x14ac:dyDescent="0.35">
      <c r="A892" t="s">
        <v>2729</v>
      </c>
      <c r="B892" t="s">
        <v>2729</v>
      </c>
      <c r="C892" t="s">
        <v>235</v>
      </c>
      <c r="D892" t="s">
        <v>248</v>
      </c>
      <c r="E892" t="s">
        <v>249</v>
      </c>
      <c r="F892">
        <v>201610</v>
      </c>
      <c r="G892" t="s">
        <v>2731</v>
      </c>
      <c r="H892" t="s">
        <v>196</v>
      </c>
      <c r="I892">
        <v>4</v>
      </c>
      <c r="K892" t="s">
        <v>2729</v>
      </c>
    </row>
    <row r="893" spans="1:11" x14ac:dyDescent="0.35">
      <c r="A893" t="s">
        <v>2729</v>
      </c>
      <c r="B893" t="s">
        <v>2729</v>
      </c>
      <c r="C893" t="s">
        <v>235</v>
      </c>
      <c r="D893" t="s">
        <v>2732</v>
      </c>
      <c r="E893" t="s">
        <v>2733</v>
      </c>
      <c r="F893">
        <v>48872</v>
      </c>
      <c r="G893" t="s">
        <v>2734</v>
      </c>
      <c r="H893" t="s">
        <v>196</v>
      </c>
      <c r="I893">
        <v>3</v>
      </c>
      <c r="K893" t="s">
        <v>2729</v>
      </c>
    </row>
    <row r="894" spans="1:11" x14ac:dyDescent="0.35">
      <c r="A894" t="s">
        <v>2729</v>
      </c>
      <c r="B894" t="s">
        <v>2729</v>
      </c>
      <c r="C894" t="s">
        <v>235</v>
      </c>
      <c r="D894" t="s">
        <v>244</v>
      </c>
      <c r="E894" t="s">
        <v>245</v>
      </c>
      <c r="F894">
        <v>111433</v>
      </c>
      <c r="G894" t="s">
        <v>2735</v>
      </c>
      <c r="H894" t="s">
        <v>196</v>
      </c>
      <c r="I894">
        <v>3</v>
      </c>
      <c r="K894" t="s">
        <v>2729</v>
      </c>
    </row>
    <row r="895" spans="1:11" x14ac:dyDescent="0.35">
      <c r="A895" t="s">
        <v>2729</v>
      </c>
      <c r="B895" t="s">
        <v>2729</v>
      </c>
      <c r="C895" t="s">
        <v>235</v>
      </c>
      <c r="D895" t="s">
        <v>252</v>
      </c>
      <c r="E895" t="s">
        <v>253</v>
      </c>
      <c r="F895">
        <v>267642</v>
      </c>
      <c r="G895" t="s">
        <v>2736</v>
      </c>
      <c r="H895" t="s">
        <v>196</v>
      </c>
      <c r="I895">
        <v>3</v>
      </c>
      <c r="K895" t="s">
        <v>2729</v>
      </c>
    </row>
    <row r="896" spans="1:11" x14ac:dyDescent="0.35">
      <c r="A896" t="s">
        <v>2729</v>
      </c>
      <c r="B896" t="s">
        <v>2729</v>
      </c>
      <c r="C896" t="s">
        <v>1144</v>
      </c>
      <c r="D896" t="s">
        <v>1284</v>
      </c>
      <c r="E896" t="s">
        <v>1285</v>
      </c>
      <c r="F896">
        <v>192690</v>
      </c>
      <c r="G896" t="s">
        <v>2737</v>
      </c>
      <c r="H896" t="s">
        <v>196</v>
      </c>
      <c r="I896">
        <v>6</v>
      </c>
      <c r="J896" t="s">
        <v>2738</v>
      </c>
      <c r="K896" t="s">
        <v>2729</v>
      </c>
    </row>
    <row r="897" spans="1:11" x14ac:dyDescent="0.35">
      <c r="A897" t="s">
        <v>2729</v>
      </c>
      <c r="B897" t="s">
        <v>2729</v>
      </c>
      <c r="C897" t="s">
        <v>1144</v>
      </c>
      <c r="D897" t="s">
        <v>1157</v>
      </c>
      <c r="E897" t="s">
        <v>1158</v>
      </c>
      <c r="F897">
        <v>183723</v>
      </c>
      <c r="G897" t="s">
        <v>2739</v>
      </c>
      <c r="H897" t="s">
        <v>196</v>
      </c>
      <c r="I897">
        <v>7</v>
      </c>
      <c r="J897" t="s">
        <v>2740</v>
      </c>
      <c r="K897" t="s">
        <v>2729</v>
      </c>
    </row>
    <row r="898" spans="1:11" x14ac:dyDescent="0.35">
      <c r="A898" t="s">
        <v>2729</v>
      </c>
      <c r="B898" t="s">
        <v>2729</v>
      </c>
      <c r="C898" t="s">
        <v>1144</v>
      </c>
      <c r="D898" t="s">
        <v>1145</v>
      </c>
      <c r="E898" t="s">
        <v>1146</v>
      </c>
      <c r="F898">
        <v>64333</v>
      </c>
      <c r="G898" t="s">
        <v>2741</v>
      </c>
      <c r="H898" t="s">
        <v>196</v>
      </c>
      <c r="I898">
        <v>3</v>
      </c>
      <c r="K898" t="s">
        <v>2729</v>
      </c>
    </row>
    <row r="899" spans="1:11" x14ac:dyDescent="0.35">
      <c r="A899" t="s">
        <v>2729</v>
      </c>
      <c r="B899" t="s">
        <v>2729</v>
      </c>
      <c r="C899" t="s">
        <v>1588</v>
      </c>
      <c r="D899" t="s">
        <v>2133</v>
      </c>
      <c r="E899" t="s">
        <v>2134</v>
      </c>
      <c r="F899">
        <v>24.11</v>
      </c>
      <c r="G899" t="s">
        <v>1961</v>
      </c>
      <c r="H899" t="s">
        <v>43</v>
      </c>
      <c r="I899">
        <v>6</v>
      </c>
      <c r="J899" t="s">
        <v>2742</v>
      </c>
      <c r="K899" t="s">
        <v>2729</v>
      </c>
    </row>
    <row r="900" spans="1:11" x14ac:dyDescent="0.35">
      <c r="A900" t="s">
        <v>2729</v>
      </c>
      <c r="B900" t="s">
        <v>2729</v>
      </c>
      <c r="C900" t="s">
        <v>1588</v>
      </c>
      <c r="D900" t="s">
        <v>2743</v>
      </c>
      <c r="E900" t="s">
        <v>2744</v>
      </c>
      <c r="F900">
        <v>128818</v>
      </c>
      <c r="G900" t="s">
        <v>2745</v>
      </c>
      <c r="H900" t="s">
        <v>196</v>
      </c>
      <c r="I900">
        <v>4</v>
      </c>
      <c r="K900" t="s">
        <v>2729</v>
      </c>
    </row>
    <row r="901" spans="1:11" x14ac:dyDescent="0.35">
      <c r="A901" t="s">
        <v>2746</v>
      </c>
      <c r="B901" t="s">
        <v>2746</v>
      </c>
      <c r="C901" t="s">
        <v>235</v>
      </c>
      <c r="D901" t="s">
        <v>252</v>
      </c>
      <c r="E901" t="s">
        <v>253</v>
      </c>
      <c r="F901">
        <v>240039</v>
      </c>
      <c r="G901" t="s">
        <v>2747</v>
      </c>
      <c r="H901" t="s">
        <v>196</v>
      </c>
      <c r="I901">
        <v>8</v>
      </c>
      <c r="J901" t="s">
        <v>2748</v>
      </c>
      <c r="K901" t="s">
        <v>2746</v>
      </c>
    </row>
    <row r="902" spans="1:11" x14ac:dyDescent="0.35">
      <c r="A902" t="s">
        <v>2746</v>
      </c>
      <c r="B902" t="s">
        <v>2746</v>
      </c>
      <c r="C902" t="s">
        <v>235</v>
      </c>
      <c r="D902" t="s">
        <v>236</v>
      </c>
      <c r="E902" t="s">
        <v>237</v>
      </c>
      <c r="F902">
        <v>145846</v>
      </c>
      <c r="G902" t="s">
        <v>2749</v>
      </c>
      <c r="H902" t="s">
        <v>196</v>
      </c>
      <c r="I902">
        <v>20</v>
      </c>
      <c r="J902" t="s">
        <v>2750</v>
      </c>
      <c r="K902" t="s">
        <v>2746</v>
      </c>
    </row>
    <row r="903" spans="1:11" x14ac:dyDescent="0.35">
      <c r="A903" t="s">
        <v>2746</v>
      </c>
      <c r="B903" t="s">
        <v>2746</v>
      </c>
      <c r="C903" t="s">
        <v>235</v>
      </c>
      <c r="D903" t="s">
        <v>248</v>
      </c>
      <c r="E903" t="s">
        <v>249</v>
      </c>
      <c r="F903">
        <v>202594</v>
      </c>
      <c r="G903" t="s">
        <v>2751</v>
      </c>
      <c r="H903" t="s">
        <v>196</v>
      </c>
      <c r="I903">
        <v>12</v>
      </c>
      <c r="J903" t="s">
        <v>2752</v>
      </c>
      <c r="K903" t="s">
        <v>2746</v>
      </c>
    </row>
    <row r="904" spans="1:11" x14ac:dyDescent="0.35">
      <c r="A904" t="s">
        <v>2746</v>
      </c>
      <c r="B904" t="s">
        <v>2746</v>
      </c>
      <c r="C904" t="s">
        <v>235</v>
      </c>
      <c r="D904" t="s">
        <v>2753</v>
      </c>
      <c r="E904" t="s">
        <v>2754</v>
      </c>
      <c r="F904">
        <v>231430</v>
      </c>
      <c r="G904" t="s">
        <v>2755</v>
      </c>
      <c r="H904" t="s">
        <v>196</v>
      </c>
      <c r="I904">
        <v>14</v>
      </c>
      <c r="J904" t="s">
        <v>2756</v>
      </c>
      <c r="K904" t="s">
        <v>2746</v>
      </c>
    </row>
    <row r="905" spans="1:11" x14ac:dyDescent="0.35">
      <c r="A905" t="s">
        <v>2746</v>
      </c>
      <c r="B905" t="s">
        <v>2746</v>
      </c>
      <c r="C905" t="s">
        <v>235</v>
      </c>
      <c r="D905" t="s">
        <v>2149</v>
      </c>
      <c r="E905" t="s">
        <v>2150</v>
      </c>
      <c r="F905">
        <v>293832</v>
      </c>
      <c r="G905" t="s">
        <v>2757</v>
      </c>
      <c r="H905" t="s">
        <v>196</v>
      </c>
      <c r="I905">
        <v>11</v>
      </c>
      <c r="J905" t="s">
        <v>2758</v>
      </c>
      <c r="K905" t="s">
        <v>2746</v>
      </c>
    </row>
    <row r="906" spans="1:11" x14ac:dyDescent="0.35">
      <c r="A906" t="s">
        <v>2746</v>
      </c>
      <c r="B906" t="s">
        <v>2746</v>
      </c>
      <c r="C906" t="s">
        <v>235</v>
      </c>
      <c r="D906" t="s">
        <v>2759</v>
      </c>
      <c r="E906" t="s">
        <v>2760</v>
      </c>
      <c r="F906">
        <v>304715</v>
      </c>
      <c r="G906" t="s">
        <v>2761</v>
      </c>
      <c r="H906" t="s">
        <v>196</v>
      </c>
      <c r="I906">
        <v>5</v>
      </c>
      <c r="K906" t="s">
        <v>2746</v>
      </c>
    </row>
    <row r="907" spans="1:11" x14ac:dyDescent="0.35">
      <c r="A907" t="s">
        <v>2746</v>
      </c>
      <c r="B907" t="s">
        <v>2746</v>
      </c>
      <c r="C907" t="s">
        <v>235</v>
      </c>
      <c r="D907" t="s">
        <v>890</v>
      </c>
      <c r="E907" t="s">
        <v>891</v>
      </c>
      <c r="F907">
        <v>81060</v>
      </c>
      <c r="G907" t="s">
        <v>2762</v>
      </c>
      <c r="H907" t="s">
        <v>196</v>
      </c>
      <c r="I907">
        <v>7</v>
      </c>
      <c r="J907" t="s">
        <v>2763</v>
      </c>
      <c r="K907" t="s">
        <v>2746</v>
      </c>
    </row>
    <row r="908" spans="1:11" x14ac:dyDescent="0.35">
      <c r="A908" t="s">
        <v>2746</v>
      </c>
      <c r="B908" t="s">
        <v>2746</v>
      </c>
      <c r="C908" t="s">
        <v>235</v>
      </c>
      <c r="D908" t="s">
        <v>2764</v>
      </c>
      <c r="E908" t="s">
        <v>2765</v>
      </c>
      <c r="F908">
        <v>161839</v>
      </c>
      <c r="G908" t="s">
        <v>2766</v>
      </c>
      <c r="H908" t="s">
        <v>196</v>
      </c>
      <c r="I908">
        <v>9</v>
      </c>
      <c r="J908" t="s">
        <v>2767</v>
      </c>
      <c r="K908" t="s">
        <v>2746</v>
      </c>
    </row>
    <row r="909" spans="1:11" x14ac:dyDescent="0.35">
      <c r="A909" t="s">
        <v>2746</v>
      </c>
      <c r="B909" t="s">
        <v>2746</v>
      </c>
      <c r="C909" t="s">
        <v>235</v>
      </c>
      <c r="D909" t="s">
        <v>2522</v>
      </c>
      <c r="E909" t="s">
        <v>2523</v>
      </c>
      <c r="F909">
        <v>184002</v>
      </c>
      <c r="G909" t="s">
        <v>2768</v>
      </c>
      <c r="H909" t="s">
        <v>196</v>
      </c>
      <c r="I909">
        <v>8</v>
      </c>
      <c r="J909" t="s">
        <v>2769</v>
      </c>
      <c r="K909" t="s">
        <v>2746</v>
      </c>
    </row>
    <row r="910" spans="1:11" x14ac:dyDescent="0.35">
      <c r="A910" t="s">
        <v>2746</v>
      </c>
      <c r="B910" t="s">
        <v>2746</v>
      </c>
      <c r="C910" t="s">
        <v>235</v>
      </c>
      <c r="D910" t="s">
        <v>2770</v>
      </c>
      <c r="E910" t="s">
        <v>2771</v>
      </c>
      <c r="F910">
        <v>113507</v>
      </c>
      <c r="G910" t="s">
        <v>2772</v>
      </c>
      <c r="H910" t="s">
        <v>196</v>
      </c>
      <c r="I910">
        <v>6</v>
      </c>
      <c r="J910" t="s">
        <v>2773</v>
      </c>
      <c r="K910" t="s">
        <v>2746</v>
      </c>
    </row>
    <row r="911" spans="1:11" x14ac:dyDescent="0.35">
      <c r="A911" t="s">
        <v>2774</v>
      </c>
      <c r="B911" t="s">
        <v>2774</v>
      </c>
      <c r="C911" t="s">
        <v>235</v>
      </c>
      <c r="D911" t="s">
        <v>252</v>
      </c>
      <c r="E911" t="s">
        <v>253</v>
      </c>
      <c r="F911">
        <v>212563</v>
      </c>
      <c r="G911" t="s">
        <v>2775</v>
      </c>
      <c r="H911" t="s">
        <v>196</v>
      </c>
      <c r="I911">
        <v>8</v>
      </c>
      <c r="J911" t="s">
        <v>2776</v>
      </c>
      <c r="K911" t="s">
        <v>2774</v>
      </c>
    </row>
    <row r="912" spans="1:11" x14ac:dyDescent="0.35">
      <c r="A912" t="s">
        <v>2774</v>
      </c>
      <c r="B912" t="s">
        <v>2774</v>
      </c>
      <c r="C912" t="s">
        <v>235</v>
      </c>
      <c r="D912" t="s">
        <v>236</v>
      </c>
      <c r="E912" t="s">
        <v>237</v>
      </c>
      <c r="F912">
        <v>176864</v>
      </c>
      <c r="G912" t="s">
        <v>2777</v>
      </c>
      <c r="H912" t="s">
        <v>196</v>
      </c>
      <c r="I912">
        <v>6</v>
      </c>
      <c r="J912" t="s">
        <v>2778</v>
      </c>
      <c r="K912" t="s">
        <v>2774</v>
      </c>
    </row>
    <row r="913" spans="1:11" x14ac:dyDescent="0.35">
      <c r="A913" t="s">
        <v>2774</v>
      </c>
      <c r="B913" t="s">
        <v>2774</v>
      </c>
      <c r="C913" t="s">
        <v>235</v>
      </c>
      <c r="D913" t="s">
        <v>2779</v>
      </c>
      <c r="E913" t="s">
        <v>2780</v>
      </c>
      <c r="F913">
        <v>211084</v>
      </c>
      <c r="G913" t="s">
        <v>2781</v>
      </c>
      <c r="H913" t="s">
        <v>196</v>
      </c>
      <c r="I913">
        <v>5</v>
      </c>
      <c r="K913" t="s">
        <v>2774</v>
      </c>
    </row>
    <row r="914" spans="1:11" x14ac:dyDescent="0.35">
      <c r="A914" t="s">
        <v>2774</v>
      </c>
      <c r="B914" t="s">
        <v>2774</v>
      </c>
      <c r="C914" t="s">
        <v>235</v>
      </c>
      <c r="D914" t="s">
        <v>2782</v>
      </c>
      <c r="E914" t="s">
        <v>2783</v>
      </c>
      <c r="F914">
        <v>290689</v>
      </c>
      <c r="G914" t="s">
        <v>2784</v>
      </c>
      <c r="H914" t="s">
        <v>196</v>
      </c>
      <c r="I914">
        <v>4</v>
      </c>
      <c r="K914" t="s">
        <v>2774</v>
      </c>
    </row>
    <row r="915" spans="1:11" x14ac:dyDescent="0.35">
      <c r="A915" t="s">
        <v>2774</v>
      </c>
      <c r="B915" t="s">
        <v>2774</v>
      </c>
      <c r="C915" t="s">
        <v>235</v>
      </c>
      <c r="D915" t="s">
        <v>2785</v>
      </c>
      <c r="E915" t="s">
        <v>2786</v>
      </c>
      <c r="F915">
        <v>207226</v>
      </c>
      <c r="G915" t="s">
        <v>2787</v>
      </c>
      <c r="H915" t="s">
        <v>196</v>
      </c>
      <c r="I915">
        <v>4</v>
      </c>
      <c r="K915" t="s">
        <v>2774</v>
      </c>
    </row>
    <row r="916" spans="1:11" x14ac:dyDescent="0.35">
      <c r="A916" t="s">
        <v>2774</v>
      </c>
      <c r="B916" t="s">
        <v>2774</v>
      </c>
      <c r="C916" t="s">
        <v>235</v>
      </c>
      <c r="D916" t="s">
        <v>2149</v>
      </c>
      <c r="E916" t="s">
        <v>2150</v>
      </c>
      <c r="F916">
        <v>370098</v>
      </c>
      <c r="G916" t="s">
        <v>2788</v>
      </c>
      <c r="H916" t="s">
        <v>196</v>
      </c>
      <c r="I916">
        <v>3</v>
      </c>
      <c r="K916" t="s">
        <v>2774</v>
      </c>
    </row>
    <row r="917" spans="1:11" x14ac:dyDescent="0.35">
      <c r="A917" t="s">
        <v>2774</v>
      </c>
      <c r="B917" t="s">
        <v>2774</v>
      </c>
      <c r="C917" t="s">
        <v>235</v>
      </c>
      <c r="D917" t="s">
        <v>866</v>
      </c>
      <c r="E917" t="s">
        <v>867</v>
      </c>
      <c r="F917">
        <v>131445</v>
      </c>
      <c r="G917" t="s">
        <v>2789</v>
      </c>
      <c r="H917" t="s">
        <v>196</v>
      </c>
      <c r="I917">
        <v>3</v>
      </c>
      <c r="K917" t="s">
        <v>2774</v>
      </c>
    </row>
    <row r="918" spans="1:11" x14ac:dyDescent="0.35">
      <c r="A918" t="s">
        <v>2774</v>
      </c>
      <c r="B918" t="s">
        <v>2774</v>
      </c>
      <c r="C918" t="s">
        <v>235</v>
      </c>
      <c r="D918" t="s">
        <v>248</v>
      </c>
      <c r="E918" t="s">
        <v>249</v>
      </c>
      <c r="F918">
        <v>178567</v>
      </c>
      <c r="G918" t="s">
        <v>2790</v>
      </c>
      <c r="H918" t="s">
        <v>196</v>
      </c>
      <c r="I918">
        <v>3</v>
      </c>
      <c r="K918" t="s">
        <v>2774</v>
      </c>
    </row>
    <row r="919" spans="1:11" x14ac:dyDescent="0.35">
      <c r="A919" t="s">
        <v>2774</v>
      </c>
      <c r="B919" t="s">
        <v>2774</v>
      </c>
      <c r="C919" t="s">
        <v>235</v>
      </c>
      <c r="D919" t="s">
        <v>2759</v>
      </c>
      <c r="E919" t="s">
        <v>2760</v>
      </c>
      <c r="F919">
        <v>294992</v>
      </c>
      <c r="G919" t="s">
        <v>2791</v>
      </c>
      <c r="H919" t="s">
        <v>196</v>
      </c>
      <c r="I919">
        <v>3</v>
      </c>
      <c r="K919" t="s">
        <v>2774</v>
      </c>
    </row>
    <row r="920" spans="1:11" x14ac:dyDescent="0.35">
      <c r="A920" t="s">
        <v>2774</v>
      </c>
      <c r="B920" t="s">
        <v>2774</v>
      </c>
      <c r="C920" t="s">
        <v>235</v>
      </c>
      <c r="D920" t="s">
        <v>878</v>
      </c>
      <c r="E920" t="s">
        <v>879</v>
      </c>
      <c r="F920">
        <v>31.58</v>
      </c>
      <c r="G920" t="s">
        <v>2792</v>
      </c>
      <c r="H920" t="s">
        <v>43</v>
      </c>
      <c r="I920">
        <v>3</v>
      </c>
      <c r="K920" t="s">
        <v>2774</v>
      </c>
    </row>
    <row r="921" spans="1:11" x14ac:dyDescent="0.35">
      <c r="A921" t="s">
        <v>2793</v>
      </c>
      <c r="B921" t="s">
        <v>2793</v>
      </c>
      <c r="C921" t="s">
        <v>1144</v>
      </c>
      <c r="D921" t="s">
        <v>1145</v>
      </c>
      <c r="E921" t="s">
        <v>1146</v>
      </c>
      <c r="F921">
        <v>83796</v>
      </c>
      <c r="G921" t="s">
        <v>2794</v>
      </c>
      <c r="H921" t="s">
        <v>196</v>
      </c>
      <c r="I921">
        <v>99</v>
      </c>
      <c r="J921" t="s">
        <v>2795</v>
      </c>
      <c r="K921" t="s">
        <v>2793</v>
      </c>
    </row>
    <row r="922" spans="1:11" x14ac:dyDescent="0.35">
      <c r="A922" t="s">
        <v>2793</v>
      </c>
      <c r="B922" t="s">
        <v>2793</v>
      </c>
      <c r="C922" t="s">
        <v>1144</v>
      </c>
      <c r="D922" t="s">
        <v>1153</v>
      </c>
      <c r="E922" t="s">
        <v>1154</v>
      </c>
      <c r="F922">
        <v>82552</v>
      </c>
      <c r="G922" t="s">
        <v>2796</v>
      </c>
      <c r="H922" t="s">
        <v>196</v>
      </c>
      <c r="I922">
        <v>16</v>
      </c>
      <c r="J922" t="s">
        <v>2797</v>
      </c>
      <c r="K922" t="s">
        <v>2793</v>
      </c>
    </row>
    <row r="923" spans="1:11" x14ac:dyDescent="0.35">
      <c r="A923" t="s">
        <v>2793</v>
      </c>
      <c r="B923" t="s">
        <v>2793</v>
      </c>
      <c r="C923" t="s">
        <v>1144</v>
      </c>
      <c r="D923" t="s">
        <v>1157</v>
      </c>
      <c r="E923" t="s">
        <v>1158</v>
      </c>
      <c r="F923">
        <v>118918</v>
      </c>
      <c r="G923" t="s">
        <v>2798</v>
      </c>
      <c r="H923" t="s">
        <v>196</v>
      </c>
      <c r="I923">
        <v>7</v>
      </c>
      <c r="J923" t="s">
        <v>2799</v>
      </c>
      <c r="K923" t="s">
        <v>2793</v>
      </c>
    </row>
    <row r="924" spans="1:11" x14ac:dyDescent="0.35">
      <c r="A924" t="s">
        <v>2793</v>
      </c>
      <c r="B924" t="s">
        <v>2793</v>
      </c>
      <c r="C924" t="s">
        <v>1144</v>
      </c>
      <c r="D924" t="s">
        <v>1149</v>
      </c>
      <c r="E924" t="s">
        <v>1150</v>
      </c>
      <c r="F924">
        <v>86269</v>
      </c>
      <c r="G924" t="s">
        <v>2800</v>
      </c>
      <c r="H924" t="s">
        <v>196</v>
      </c>
      <c r="I924">
        <v>12</v>
      </c>
      <c r="J924" t="s">
        <v>2801</v>
      </c>
      <c r="K924" t="s">
        <v>2793</v>
      </c>
    </row>
    <row r="925" spans="1:11" x14ac:dyDescent="0.35">
      <c r="A925" t="s">
        <v>2793</v>
      </c>
      <c r="B925" t="s">
        <v>2793</v>
      </c>
      <c r="C925" t="s">
        <v>1144</v>
      </c>
      <c r="D925" t="s">
        <v>2802</v>
      </c>
      <c r="E925" t="s">
        <v>2803</v>
      </c>
      <c r="F925">
        <v>93651</v>
      </c>
      <c r="G925" t="s">
        <v>2804</v>
      </c>
      <c r="H925" t="s">
        <v>196</v>
      </c>
      <c r="I925">
        <v>6</v>
      </c>
      <c r="J925" t="s">
        <v>2805</v>
      </c>
      <c r="K925" t="s">
        <v>2793</v>
      </c>
    </row>
    <row r="926" spans="1:11" x14ac:dyDescent="0.35">
      <c r="A926" t="s">
        <v>2793</v>
      </c>
      <c r="B926" t="s">
        <v>2793</v>
      </c>
      <c r="C926" t="s">
        <v>1144</v>
      </c>
      <c r="D926" t="s">
        <v>2806</v>
      </c>
      <c r="E926" t="s">
        <v>2807</v>
      </c>
      <c r="F926">
        <v>62919</v>
      </c>
      <c r="G926" t="s">
        <v>2808</v>
      </c>
      <c r="H926" t="s">
        <v>196</v>
      </c>
      <c r="I926">
        <v>3</v>
      </c>
      <c r="K926" t="s">
        <v>2793</v>
      </c>
    </row>
    <row r="927" spans="1:11" x14ac:dyDescent="0.35">
      <c r="A927" t="s">
        <v>2793</v>
      </c>
      <c r="B927" t="s">
        <v>2793</v>
      </c>
      <c r="C927" t="s">
        <v>1144</v>
      </c>
      <c r="D927" t="s">
        <v>1173</v>
      </c>
      <c r="E927" t="s">
        <v>1174</v>
      </c>
      <c r="F927">
        <v>89313</v>
      </c>
      <c r="G927" t="s">
        <v>2809</v>
      </c>
      <c r="H927" t="s">
        <v>196</v>
      </c>
      <c r="I927">
        <v>3</v>
      </c>
      <c r="K927" t="s">
        <v>2793</v>
      </c>
    </row>
    <row r="928" spans="1:11" x14ac:dyDescent="0.35">
      <c r="A928" t="s">
        <v>2793</v>
      </c>
      <c r="B928" t="s">
        <v>2793</v>
      </c>
      <c r="C928" t="s">
        <v>1144</v>
      </c>
      <c r="D928" t="s">
        <v>2810</v>
      </c>
      <c r="E928" t="s">
        <v>2811</v>
      </c>
      <c r="F928">
        <v>187127</v>
      </c>
      <c r="G928" t="s">
        <v>2812</v>
      </c>
      <c r="H928" t="s">
        <v>196</v>
      </c>
      <c r="I928">
        <v>2</v>
      </c>
      <c r="K928" t="s">
        <v>2793</v>
      </c>
    </row>
    <row r="929" spans="1:11" x14ac:dyDescent="0.35">
      <c r="A929" t="s">
        <v>2793</v>
      </c>
      <c r="B929" t="s">
        <v>2793</v>
      </c>
      <c r="C929" t="s">
        <v>1144</v>
      </c>
      <c r="D929" t="s">
        <v>1288</v>
      </c>
      <c r="E929" t="s">
        <v>1289</v>
      </c>
      <c r="F929">
        <v>139689</v>
      </c>
      <c r="G929" t="s">
        <v>2813</v>
      </c>
      <c r="H929" t="s">
        <v>196</v>
      </c>
      <c r="I929">
        <v>1</v>
      </c>
      <c r="K929" t="s">
        <v>2793</v>
      </c>
    </row>
    <row r="930" spans="1:11" x14ac:dyDescent="0.35">
      <c r="A930" t="s">
        <v>2793</v>
      </c>
      <c r="B930" t="s">
        <v>2793</v>
      </c>
      <c r="C930" t="s">
        <v>715</v>
      </c>
      <c r="D930" t="s">
        <v>791</v>
      </c>
      <c r="E930" t="s">
        <v>792</v>
      </c>
      <c r="F930">
        <v>89870</v>
      </c>
      <c r="G930" t="s">
        <v>2814</v>
      </c>
      <c r="H930" t="s">
        <v>196</v>
      </c>
      <c r="I930">
        <v>25</v>
      </c>
      <c r="J930" t="s">
        <v>2815</v>
      </c>
      <c r="K930" t="s">
        <v>2793</v>
      </c>
    </row>
    <row r="931" spans="1:11" x14ac:dyDescent="0.35">
      <c r="A931" t="s">
        <v>2816</v>
      </c>
      <c r="B931" t="s">
        <v>2817</v>
      </c>
      <c r="C931" t="s">
        <v>235</v>
      </c>
      <c r="D931" t="s">
        <v>252</v>
      </c>
      <c r="E931" t="s">
        <v>253</v>
      </c>
      <c r="F931">
        <v>243858</v>
      </c>
      <c r="G931" t="s">
        <v>2818</v>
      </c>
      <c r="H931" t="s">
        <v>196</v>
      </c>
      <c r="I931">
        <v>20</v>
      </c>
      <c r="J931" t="s">
        <v>2819</v>
      </c>
      <c r="K931" t="s">
        <v>2817</v>
      </c>
    </row>
    <row r="932" spans="1:11" x14ac:dyDescent="0.35">
      <c r="A932" t="s">
        <v>2816</v>
      </c>
      <c r="B932" t="s">
        <v>2817</v>
      </c>
      <c r="C932" t="s">
        <v>235</v>
      </c>
      <c r="D932" t="s">
        <v>244</v>
      </c>
      <c r="E932" t="s">
        <v>245</v>
      </c>
      <c r="F932">
        <v>112541</v>
      </c>
      <c r="G932" t="s">
        <v>2820</v>
      </c>
      <c r="H932" t="s">
        <v>196</v>
      </c>
      <c r="I932">
        <v>15</v>
      </c>
      <c r="J932" t="s">
        <v>2821</v>
      </c>
      <c r="K932" t="s">
        <v>2817</v>
      </c>
    </row>
    <row r="933" spans="1:11" x14ac:dyDescent="0.35">
      <c r="A933" t="s">
        <v>2816</v>
      </c>
      <c r="B933" t="s">
        <v>2817</v>
      </c>
      <c r="C933" t="s">
        <v>235</v>
      </c>
      <c r="D933" t="s">
        <v>236</v>
      </c>
      <c r="E933" t="s">
        <v>237</v>
      </c>
      <c r="F933">
        <v>153509</v>
      </c>
      <c r="G933" t="s">
        <v>2822</v>
      </c>
      <c r="H933" t="s">
        <v>196</v>
      </c>
      <c r="I933">
        <v>12</v>
      </c>
      <c r="J933" t="s">
        <v>2823</v>
      </c>
      <c r="K933" t="s">
        <v>2817</v>
      </c>
    </row>
    <row r="934" spans="1:11" x14ac:dyDescent="0.35">
      <c r="A934" t="s">
        <v>2816</v>
      </c>
      <c r="B934" t="s">
        <v>2817</v>
      </c>
      <c r="C934" t="s">
        <v>235</v>
      </c>
      <c r="D934" t="s">
        <v>2824</v>
      </c>
      <c r="E934" t="s">
        <v>2825</v>
      </c>
      <c r="F934">
        <v>144288</v>
      </c>
      <c r="G934" t="s">
        <v>2826</v>
      </c>
      <c r="H934" t="s">
        <v>196</v>
      </c>
      <c r="I934">
        <v>7</v>
      </c>
      <c r="J934" t="s">
        <v>2827</v>
      </c>
      <c r="K934" t="s">
        <v>2817</v>
      </c>
    </row>
    <row r="935" spans="1:11" x14ac:dyDescent="0.35">
      <c r="A935" t="s">
        <v>2816</v>
      </c>
      <c r="B935" t="s">
        <v>2817</v>
      </c>
      <c r="C935" t="s">
        <v>235</v>
      </c>
      <c r="D935" t="s">
        <v>2828</v>
      </c>
      <c r="E935" t="s">
        <v>2829</v>
      </c>
      <c r="F935">
        <v>68804</v>
      </c>
      <c r="G935" t="s">
        <v>2830</v>
      </c>
      <c r="H935" t="s">
        <v>196</v>
      </c>
      <c r="I935">
        <v>6</v>
      </c>
      <c r="J935" t="s">
        <v>2831</v>
      </c>
      <c r="K935" t="s">
        <v>2817</v>
      </c>
    </row>
    <row r="936" spans="1:11" x14ac:dyDescent="0.35">
      <c r="A936" t="s">
        <v>2816</v>
      </c>
      <c r="B936" t="s">
        <v>2817</v>
      </c>
      <c r="C936" t="s">
        <v>235</v>
      </c>
      <c r="D936" t="s">
        <v>2832</v>
      </c>
      <c r="E936" t="s">
        <v>2833</v>
      </c>
      <c r="F936">
        <v>126378</v>
      </c>
      <c r="G936" t="s">
        <v>2834</v>
      </c>
      <c r="H936" t="s">
        <v>196</v>
      </c>
      <c r="I936">
        <v>6</v>
      </c>
      <c r="J936" t="s">
        <v>2835</v>
      </c>
      <c r="K936" t="s">
        <v>2817</v>
      </c>
    </row>
    <row r="937" spans="1:11" x14ac:dyDescent="0.35">
      <c r="A937" t="s">
        <v>2816</v>
      </c>
      <c r="B937" t="s">
        <v>2817</v>
      </c>
      <c r="C937" t="s">
        <v>235</v>
      </c>
      <c r="D937" t="s">
        <v>2759</v>
      </c>
      <c r="E937" t="s">
        <v>2760</v>
      </c>
      <c r="F937">
        <v>269645</v>
      </c>
      <c r="G937" t="s">
        <v>2836</v>
      </c>
      <c r="H937" t="s">
        <v>196</v>
      </c>
      <c r="I937">
        <v>6</v>
      </c>
      <c r="J937" t="s">
        <v>2837</v>
      </c>
      <c r="K937" t="s">
        <v>2817</v>
      </c>
    </row>
    <row r="938" spans="1:11" x14ac:dyDescent="0.35">
      <c r="A938" t="s">
        <v>2816</v>
      </c>
      <c r="B938" t="s">
        <v>2817</v>
      </c>
      <c r="C938" t="s">
        <v>235</v>
      </c>
      <c r="D938" t="s">
        <v>890</v>
      </c>
      <c r="E938" t="s">
        <v>891</v>
      </c>
      <c r="F938">
        <v>153855</v>
      </c>
      <c r="G938" t="s">
        <v>2838</v>
      </c>
      <c r="H938" t="s">
        <v>196</v>
      </c>
      <c r="I938">
        <v>7</v>
      </c>
      <c r="J938" t="s">
        <v>2839</v>
      </c>
      <c r="K938" t="s">
        <v>2817</v>
      </c>
    </row>
    <row r="939" spans="1:11" x14ac:dyDescent="0.35">
      <c r="A939" t="s">
        <v>2816</v>
      </c>
      <c r="B939" t="s">
        <v>2817</v>
      </c>
      <c r="C939" t="s">
        <v>235</v>
      </c>
      <c r="D939" t="s">
        <v>2840</v>
      </c>
      <c r="E939" t="s">
        <v>2841</v>
      </c>
      <c r="F939">
        <v>89080</v>
      </c>
      <c r="G939" t="s">
        <v>2842</v>
      </c>
      <c r="H939" t="s">
        <v>196</v>
      </c>
      <c r="I939">
        <v>6</v>
      </c>
      <c r="J939" t="s">
        <v>2843</v>
      </c>
      <c r="K939" t="s">
        <v>2817</v>
      </c>
    </row>
    <row r="940" spans="1:11" x14ac:dyDescent="0.35">
      <c r="A940" t="s">
        <v>2816</v>
      </c>
      <c r="B940" t="s">
        <v>2817</v>
      </c>
      <c r="C940" t="s">
        <v>235</v>
      </c>
      <c r="D940" t="s">
        <v>248</v>
      </c>
      <c r="E940" t="s">
        <v>249</v>
      </c>
      <c r="F940">
        <v>203640</v>
      </c>
      <c r="G940" t="s">
        <v>2844</v>
      </c>
      <c r="H940" t="s">
        <v>196</v>
      </c>
      <c r="I940">
        <v>6</v>
      </c>
      <c r="J940" t="s">
        <v>2845</v>
      </c>
      <c r="K940" t="s">
        <v>2817</v>
      </c>
    </row>
    <row r="941" spans="1:11" x14ac:dyDescent="0.35">
      <c r="A941" t="s">
        <v>2846</v>
      </c>
      <c r="B941" t="s">
        <v>2846</v>
      </c>
      <c r="C941" t="s">
        <v>378</v>
      </c>
      <c r="D941" t="s">
        <v>379</v>
      </c>
      <c r="E941" t="s">
        <v>380</v>
      </c>
      <c r="F941">
        <v>105219</v>
      </c>
      <c r="G941" t="s">
        <v>2847</v>
      </c>
      <c r="H941" t="s">
        <v>196</v>
      </c>
      <c r="I941">
        <v>14</v>
      </c>
      <c r="J941" t="s">
        <v>2848</v>
      </c>
      <c r="K941" t="s">
        <v>2846</v>
      </c>
    </row>
    <row r="942" spans="1:11" x14ac:dyDescent="0.35">
      <c r="A942" t="s">
        <v>2846</v>
      </c>
      <c r="B942" t="s">
        <v>2846</v>
      </c>
      <c r="C942" t="s">
        <v>378</v>
      </c>
      <c r="D942" t="s">
        <v>387</v>
      </c>
      <c r="E942" t="s">
        <v>388</v>
      </c>
      <c r="F942">
        <v>113140</v>
      </c>
      <c r="G942" t="s">
        <v>2849</v>
      </c>
      <c r="H942" t="s">
        <v>196</v>
      </c>
      <c r="I942">
        <v>21</v>
      </c>
      <c r="J942" t="s">
        <v>2850</v>
      </c>
      <c r="K942" t="s">
        <v>2846</v>
      </c>
    </row>
    <row r="943" spans="1:11" x14ac:dyDescent="0.35">
      <c r="A943" t="s">
        <v>2846</v>
      </c>
      <c r="B943" t="s">
        <v>2846</v>
      </c>
      <c r="C943" t="s">
        <v>378</v>
      </c>
      <c r="D943" t="s">
        <v>405</v>
      </c>
      <c r="E943" t="s">
        <v>406</v>
      </c>
      <c r="F943">
        <v>94322</v>
      </c>
      <c r="G943" t="s">
        <v>2851</v>
      </c>
      <c r="H943" t="s">
        <v>196</v>
      </c>
      <c r="I943">
        <v>12</v>
      </c>
      <c r="J943" t="s">
        <v>2852</v>
      </c>
      <c r="K943" t="s">
        <v>2846</v>
      </c>
    </row>
    <row r="944" spans="1:11" x14ac:dyDescent="0.35">
      <c r="A944" t="s">
        <v>2846</v>
      </c>
      <c r="B944" t="s">
        <v>2846</v>
      </c>
      <c r="C944" t="s">
        <v>378</v>
      </c>
      <c r="D944" t="s">
        <v>378</v>
      </c>
      <c r="E944" t="s">
        <v>394</v>
      </c>
      <c r="F944">
        <v>150378</v>
      </c>
      <c r="G944" t="s">
        <v>2853</v>
      </c>
      <c r="H944" t="s">
        <v>196</v>
      </c>
      <c r="I944">
        <v>9</v>
      </c>
      <c r="J944" t="s">
        <v>2854</v>
      </c>
      <c r="K944" t="s">
        <v>2846</v>
      </c>
    </row>
    <row r="945" spans="1:11" x14ac:dyDescent="0.35">
      <c r="A945" t="s">
        <v>2846</v>
      </c>
      <c r="B945" t="s">
        <v>2846</v>
      </c>
      <c r="C945" t="s">
        <v>378</v>
      </c>
      <c r="D945" t="s">
        <v>424</v>
      </c>
      <c r="E945" t="s">
        <v>425</v>
      </c>
      <c r="F945">
        <v>108048</v>
      </c>
      <c r="G945" t="s">
        <v>2855</v>
      </c>
      <c r="H945" t="s">
        <v>196</v>
      </c>
      <c r="I945">
        <v>9</v>
      </c>
      <c r="J945" t="s">
        <v>2856</v>
      </c>
      <c r="K945" t="s">
        <v>2846</v>
      </c>
    </row>
    <row r="946" spans="1:11" x14ac:dyDescent="0.35">
      <c r="A946" t="s">
        <v>2846</v>
      </c>
      <c r="B946" t="s">
        <v>2846</v>
      </c>
      <c r="C946" t="s">
        <v>378</v>
      </c>
      <c r="D946" t="s">
        <v>2857</v>
      </c>
      <c r="E946" t="s">
        <v>2858</v>
      </c>
      <c r="F946">
        <v>68594</v>
      </c>
      <c r="G946" t="s">
        <v>2859</v>
      </c>
      <c r="H946" t="s">
        <v>196</v>
      </c>
      <c r="I946">
        <v>7</v>
      </c>
      <c r="J946" t="s">
        <v>2860</v>
      </c>
      <c r="K946" t="s">
        <v>2846</v>
      </c>
    </row>
    <row r="947" spans="1:11" x14ac:dyDescent="0.35">
      <c r="A947" t="s">
        <v>2846</v>
      </c>
      <c r="B947" t="s">
        <v>2846</v>
      </c>
      <c r="C947" t="s">
        <v>378</v>
      </c>
      <c r="D947" t="s">
        <v>401</v>
      </c>
      <c r="E947" t="s">
        <v>402</v>
      </c>
      <c r="F947">
        <v>62337</v>
      </c>
      <c r="G947" t="s">
        <v>2861</v>
      </c>
      <c r="H947" t="s">
        <v>196</v>
      </c>
      <c r="I947">
        <v>6</v>
      </c>
      <c r="J947" t="s">
        <v>2862</v>
      </c>
      <c r="K947" t="s">
        <v>2846</v>
      </c>
    </row>
    <row r="948" spans="1:11" x14ac:dyDescent="0.35">
      <c r="A948" t="s">
        <v>2846</v>
      </c>
      <c r="B948" t="s">
        <v>2846</v>
      </c>
      <c r="C948" t="s">
        <v>378</v>
      </c>
      <c r="D948" t="s">
        <v>397</v>
      </c>
      <c r="E948" t="s">
        <v>398</v>
      </c>
      <c r="F948">
        <v>143611</v>
      </c>
      <c r="G948" t="s">
        <v>2863</v>
      </c>
      <c r="H948" t="s">
        <v>196</v>
      </c>
      <c r="I948">
        <v>10</v>
      </c>
      <c r="J948" t="s">
        <v>2864</v>
      </c>
      <c r="K948" t="s">
        <v>2846</v>
      </c>
    </row>
    <row r="949" spans="1:11" x14ac:dyDescent="0.35">
      <c r="A949" t="s">
        <v>2846</v>
      </c>
      <c r="B949" t="s">
        <v>2846</v>
      </c>
      <c r="C949" t="s">
        <v>378</v>
      </c>
      <c r="D949" t="s">
        <v>428</v>
      </c>
      <c r="E949" t="s">
        <v>429</v>
      </c>
      <c r="F949">
        <v>118714</v>
      </c>
      <c r="G949" t="s">
        <v>2865</v>
      </c>
      <c r="H949" t="s">
        <v>196</v>
      </c>
      <c r="I949">
        <v>9</v>
      </c>
      <c r="J949" t="s">
        <v>2866</v>
      </c>
      <c r="K949" t="s">
        <v>2846</v>
      </c>
    </row>
    <row r="950" spans="1:11" x14ac:dyDescent="0.35">
      <c r="A950" t="s">
        <v>2846</v>
      </c>
      <c r="B950" t="s">
        <v>2846</v>
      </c>
      <c r="C950" t="s">
        <v>378</v>
      </c>
      <c r="D950" t="s">
        <v>2867</v>
      </c>
      <c r="E950" t="s">
        <v>2868</v>
      </c>
      <c r="F950">
        <v>162688</v>
      </c>
      <c r="G950" t="s">
        <v>2869</v>
      </c>
      <c r="H950" t="s">
        <v>196</v>
      </c>
      <c r="I950">
        <v>6</v>
      </c>
      <c r="J950" t="s">
        <v>2870</v>
      </c>
      <c r="K950" t="s">
        <v>2846</v>
      </c>
    </row>
    <row r="951" spans="1:11" x14ac:dyDescent="0.35">
      <c r="A951" t="s">
        <v>2871</v>
      </c>
      <c r="B951" t="s">
        <v>2871</v>
      </c>
      <c r="C951" t="s">
        <v>1085</v>
      </c>
      <c r="D951" t="s">
        <v>1098</v>
      </c>
      <c r="E951" t="s">
        <v>1099</v>
      </c>
      <c r="F951">
        <v>12.27</v>
      </c>
      <c r="G951" t="s">
        <v>2872</v>
      </c>
      <c r="H951" t="s">
        <v>43</v>
      </c>
      <c r="I951">
        <v>196</v>
      </c>
      <c r="J951" t="s">
        <v>2873</v>
      </c>
      <c r="K951" t="s">
        <v>2871</v>
      </c>
    </row>
    <row r="952" spans="1:11" x14ac:dyDescent="0.35">
      <c r="A952" t="s">
        <v>2871</v>
      </c>
      <c r="B952" t="s">
        <v>2871</v>
      </c>
      <c r="C952" t="s">
        <v>1085</v>
      </c>
      <c r="D952" t="s">
        <v>1094</v>
      </c>
      <c r="E952" t="s">
        <v>1095</v>
      </c>
      <c r="F952">
        <v>7.25</v>
      </c>
      <c r="G952" t="s">
        <v>2874</v>
      </c>
      <c r="H952" t="s">
        <v>43</v>
      </c>
      <c r="I952">
        <v>1</v>
      </c>
      <c r="K952" t="s">
        <v>2871</v>
      </c>
    </row>
    <row r="953" spans="1:11" x14ac:dyDescent="0.35">
      <c r="A953" t="s">
        <v>2871</v>
      </c>
      <c r="B953" t="s">
        <v>2871</v>
      </c>
      <c r="C953" t="s">
        <v>1085</v>
      </c>
      <c r="D953" t="s">
        <v>2875</v>
      </c>
      <c r="E953" t="s">
        <v>2876</v>
      </c>
      <c r="F953">
        <v>19.489999999999998</v>
      </c>
      <c r="G953" t="s">
        <v>2877</v>
      </c>
      <c r="H953" t="s">
        <v>43</v>
      </c>
      <c r="I953">
        <v>1</v>
      </c>
      <c r="K953" t="s">
        <v>2871</v>
      </c>
    </row>
    <row r="954" spans="1:11" x14ac:dyDescent="0.35">
      <c r="A954" t="s">
        <v>2871</v>
      </c>
      <c r="B954" t="s">
        <v>2871</v>
      </c>
      <c r="C954" t="s">
        <v>198</v>
      </c>
      <c r="D954" t="s">
        <v>207</v>
      </c>
      <c r="E954" t="s">
        <v>208</v>
      </c>
      <c r="F954">
        <v>12.39</v>
      </c>
      <c r="G954" t="s">
        <v>2878</v>
      </c>
      <c r="H954" t="s">
        <v>43</v>
      </c>
      <c r="I954">
        <v>46</v>
      </c>
      <c r="J954" t="s">
        <v>2879</v>
      </c>
      <c r="K954" t="s">
        <v>2871</v>
      </c>
    </row>
    <row r="955" spans="1:11" x14ac:dyDescent="0.35">
      <c r="A955" t="s">
        <v>2871</v>
      </c>
      <c r="B955" t="s">
        <v>2871</v>
      </c>
      <c r="C955" t="s">
        <v>198</v>
      </c>
      <c r="D955" t="s">
        <v>221</v>
      </c>
      <c r="E955" t="s">
        <v>222</v>
      </c>
      <c r="F955">
        <v>11.5</v>
      </c>
      <c r="G955" t="s">
        <v>2880</v>
      </c>
      <c r="H955" t="s">
        <v>43</v>
      </c>
      <c r="I955">
        <v>12</v>
      </c>
      <c r="J955" t="s">
        <v>2881</v>
      </c>
      <c r="K955" t="s">
        <v>2871</v>
      </c>
    </row>
    <row r="956" spans="1:11" x14ac:dyDescent="0.35">
      <c r="A956" t="s">
        <v>2871</v>
      </c>
      <c r="B956" t="s">
        <v>2871</v>
      </c>
      <c r="C956" t="s">
        <v>198</v>
      </c>
      <c r="D956" t="s">
        <v>199</v>
      </c>
      <c r="E956" t="s">
        <v>200</v>
      </c>
      <c r="F956">
        <v>48727</v>
      </c>
      <c r="G956" t="s">
        <v>2882</v>
      </c>
      <c r="H956" t="s">
        <v>196</v>
      </c>
      <c r="I956">
        <v>11</v>
      </c>
      <c r="J956" t="s">
        <v>2883</v>
      </c>
      <c r="K956" t="s">
        <v>2871</v>
      </c>
    </row>
    <row r="957" spans="1:11" x14ac:dyDescent="0.35">
      <c r="A957" t="s">
        <v>2871</v>
      </c>
      <c r="B957" t="s">
        <v>2871</v>
      </c>
      <c r="C957" t="s">
        <v>198</v>
      </c>
      <c r="D957" t="s">
        <v>203</v>
      </c>
      <c r="E957" t="s">
        <v>204</v>
      </c>
      <c r="F957">
        <v>15.97</v>
      </c>
      <c r="G957" t="s">
        <v>1137</v>
      </c>
      <c r="H957" t="s">
        <v>43</v>
      </c>
      <c r="I957">
        <v>4</v>
      </c>
      <c r="K957" t="s">
        <v>2871</v>
      </c>
    </row>
    <row r="958" spans="1:11" x14ac:dyDescent="0.35">
      <c r="A958" t="s">
        <v>2871</v>
      </c>
      <c r="B958" t="s">
        <v>2871</v>
      </c>
      <c r="C958" t="s">
        <v>198</v>
      </c>
      <c r="D958" t="s">
        <v>2629</v>
      </c>
      <c r="E958" t="s">
        <v>2630</v>
      </c>
      <c r="F958">
        <v>12.6</v>
      </c>
      <c r="G958" t="s">
        <v>2884</v>
      </c>
      <c r="H958" t="s">
        <v>43</v>
      </c>
      <c r="I958">
        <v>2</v>
      </c>
      <c r="K958" t="s">
        <v>2871</v>
      </c>
    </row>
    <row r="959" spans="1:11" x14ac:dyDescent="0.35">
      <c r="A959" t="s">
        <v>2871</v>
      </c>
      <c r="B959" t="s">
        <v>2871</v>
      </c>
      <c r="C959" t="s">
        <v>338</v>
      </c>
      <c r="D959" t="s">
        <v>1700</v>
      </c>
      <c r="E959" t="s">
        <v>1701</v>
      </c>
      <c r="F959">
        <v>13.73</v>
      </c>
      <c r="G959" t="s">
        <v>2885</v>
      </c>
      <c r="H959" t="s">
        <v>43</v>
      </c>
      <c r="I959">
        <v>40</v>
      </c>
      <c r="J959" t="s">
        <v>2886</v>
      </c>
      <c r="K959" t="s">
        <v>2871</v>
      </c>
    </row>
    <row r="960" spans="1:11" x14ac:dyDescent="0.35">
      <c r="A960" t="s">
        <v>2871</v>
      </c>
      <c r="B960" t="s">
        <v>2871</v>
      </c>
      <c r="C960" t="s">
        <v>338</v>
      </c>
      <c r="D960" t="s">
        <v>128</v>
      </c>
      <c r="E960" t="s">
        <v>129</v>
      </c>
      <c r="F960">
        <v>25.54</v>
      </c>
      <c r="G960" t="s">
        <v>2887</v>
      </c>
      <c r="H960" t="s">
        <v>43</v>
      </c>
      <c r="I960">
        <v>6</v>
      </c>
      <c r="J960" t="s">
        <v>2888</v>
      </c>
      <c r="K960" t="s">
        <v>2871</v>
      </c>
    </row>
    <row r="961" spans="1:11" x14ac:dyDescent="0.35">
      <c r="A961" t="s">
        <v>2889</v>
      </c>
      <c r="B961" t="s">
        <v>2890</v>
      </c>
      <c r="C961" t="s">
        <v>2891</v>
      </c>
      <c r="D961" t="s">
        <v>2892</v>
      </c>
      <c r="E961" t="s">
        <v>2893</v>
      </c>
      <c r="F961">
        <v>20.29</v>
      </c>
      <c r="G961" t="s">
        <v>2894</v>
      </c>
      <c r="H961" t="s">
        <v>43</v>
      </c>
      <c r="I961">
        <v>18</v>
      </c>
      <c r="J961" t="s">
        <v>2895</v>
      </c>
      <c r="K961" t="s">
        <v>2889</v>
      </c>
    </row>
    <row r="962" spans="1:11" x14ac:dyDescent="0.35">
      <c r="A962" t="s">
        <v>2889</v>
      </c>
      <c r="B962" t="s">
        <v>2890</v>
      </c>
      <c r="C962" t="s">
        <v>2891</v>
      </c>
      <c r="D962" t="s">
        <v>2896</v>
      </c>
      <c r="E962" t="s">
        <v>2897</v>
      </c>
      <c r="F962">
        <v>16.57</v>
      </c>
      <c r="G962" t="s">
        <v>2898</v>
      </c>
      <c r="H962" t="s">
        <v>43</v>
      </c>
      <c r="I962">
        <v>5</v>
      </c>
      <c r="K962" t="s">
        <v>2889</v>
      </c>
    </row>
    <row r="963" spans="1:11" x14ac:dyDescent="0.35">
      <c r="A963" t="s">
        <v>2889</v>
      </c>
      <c r="B963" t="s">
        <v>2890</v>
      </c>
      <c r="C963" t="s">
        <v>2891</v>
      </c>
      <c r="D963" t="s">
        <v>2899</v>
      </c>
      <c r="E963" t="s">
        <v>2900</v>
      </c>
      <c r="F963">
        <v>15.17</v>
      </c>
      <c r="G963" t="s">
        <v>2901</v>
      </c>
      <c r="H963" t="s">
        <v>43</v>
      </c>
      <c r="I963">
        <v>7</v>
      </c>
      <c r="J963" t="s">
        <v>2902</v>
      </c>
      <c r="K963" t="s">
        <v>2889</v>
      </c>
    </row>
    <row r="964" spans="1:11" x14ac:dyDescent="0.35">
      <c r="A964" t="s">
        <v>2889</v>
      </c>
      <c r="B964" t="s">
        <v>2890</v>
      </c>
      <c r="C964" t="s">
        <v>2891</v>
      </c>
      <c r="D964" t="s">
        <v>2903</v>
      </c>
      <c r="E964" t="s">
        <v>2904</v>
      </c>
      <c r="F964">
        <v>17.510000000000002</v>
      </c>
      <c r="G964" t="s">
        <v>2905</v>
      </c>
      <c r="H964" t="s">
        <v>43</v>
      </c>
      <c r="I964">
        <v>6</v>
      </c>
      <c r="J964" t="s">
        <v>2906</v>
      </c>
      <c r="K964" t="s">
        <v>2889</v>
      </c>
    </row>
    <row r="965" spans="1:11" x14ac:dyDescent="0.35">
      <c r="A965" t="s">
        <v>2889</v>
      </c>
      <c r="B965" t="s">
        <v>2890</v>
      </c>
      <c r="C965" t="s">
        <v>378</v>
      </c>
      <c r="D965" t="s">
        <v>391</v>
      </c>
      <c r="E965" t="s">
        <v>392</v>
      </c>
      <c r="F965">
        <v>12.62</v>
      </c>
      <c r="G965" t="s">
        <v>2907</v>
      </c>
      <c r="H965" t="s">
        <v>43</v>
      </c>
      <c r="I965">
        <v>26</v>
      </c>
      <c r="J965" t="s">
        <v>2908</v>
      </c>
      <c r="K965" t="s">
        <v>2889</v>
      </c>
    </row>
    <row r="966" spans="1:11" x14ac:dyDescent="0.35">
      <c r="A966" t="s">
        <v>2889</v>
      </c>
      <c r="B966" t="s">
        <v>2890</v>
      </c>
      <c r="C966" t="s">
        <v>378</v>
      </c>
      <c r="D966" t="s">
        <v>409</v>
      </c>
      <c r="E966" t="s">
        <v>410</v>
      </c>
      <c r="F966">
        <v>37839</v>
      </c>
      <c r="G966" t="s">
        <v>2909</v>
      </c>
      <c r="H966" t="s">
        <v>196</v>
      </c>
      <c r="I966">
        <v>2</v>
      </c>
      <c r="K966" t="s">
        <v>2889</v>
      </c>
    </row>
    <row r="967" spans="1:11" x14ac:dyDescent="0.35">
      <c r="A967" t="s">
        <v>2889</v>
      </c>
      <c r="B967" t="s">
        <v>2890</v>
      </c>
      <c r="C967" t="s">
        <v>378</v>
      </c>
      <c r="D967" t="s">
        <v>2910</v>
      </c>
      <c r="E967" t="s">
        <v>2911</v>
      </c>
      <c r="F967">
        <v>12</v>
      </c>
      <c r="G967" t="s">
        <v>2912</v>
      </c>
      <c r="H967" t="s">
        <v>43</v>
      </c>
      <c r="I967">
        <v>1</v>
      </c>
      <c r="K967" t="s">
        <v>2889</v>
      </c>
    </row>
    <row r="968" spans="1:11" x14ac:dyDescent="0.35">
      <c r="A968" t="s">
        <v>2889</v>
      </c>
      <c r="B968" t="s">
        <v>2890</v>
      </c>
      <c r="C968" t="s">
        <v>80</v>
      </c>
      <c r="D968" t="s">
        <v>81</v>
      </c>
      <c r="E968" t="s">
        <v>82</v>
      </c>
      <c r="F968">
        <v>16.72</v>
      </c>
      <c r="G968" t="s">
        <v>1128</v>
      </c>
      <c r="H968" t="s">
        <v>43</v>
      </c>
      <c r="I968">
        <v>9</v>
      </c>
      <c r="J968" t="s">
        <v>2913</v>
      </c>
      <c r="K968" t="s">
        <v>2889</v>
      </c>
    </row>
    <row r="969" spans="1:11" x14ac:dyDescent="0.35">
      <c r="A969" t="s">
        <v>2889</v>
      </c>
      <c r="B969" t="s">
        <v>2890</v>
      </c>
      <c r="C969" t="s">
        <v>80</v>
      </c>
      <c r="D969" t="s">
        <v>2194</v>
      </c>
      <c r="E969" t="s">
        <v>2195</v>
      </c>
      <c r="F969">
        <v>12</v>
      </c>
      <c r="G969" t="s">
        <v>2912</v>
      </c>
      <c r="H969" t="s">
        <v>43</v>
      </c>
      <c r="I969">
        <v>6</v>
      </c>
      <c r="J969" t="s">
        <v>2914</v>
      </c>
      <c r="K969" t="s">
        <v>2889</v>
      </c>
    </row>
    <row r="970" spans="1:11" x14ac:dyDescent="0.35">
      <c r="A970" t="s">
        <v>2889</v>
      </c>
      <c r="B970" t="s">
        <v>2890</v>
      </c>
      <c r="C970" t="s">
        <v>80</v>
      </c>
      <c r="D970" t="s">
        <v>2915</v>
      </c>
      <c r="E970" t="s">
        <v>2916</v>
      </c>
      <c r="F970">
        <v>31938</v>
      </c>
      <c r="G970" t="s">
        <v>2917</v>
      </c>
      <c r="H970" t="s">
        <v>196</v>
      </c>
      <c r="I970">
        <v>1</v>
      </c>
      <c r="K970" t="s">
        <v>2889</v>
      </c>
    </row>
    <row r="971" spans="1:11" x14ac:dyDescent="0.35">
      <c r="A971" t="s">
        <v>2918</v>
      </c>
      <c r="B971" t="s">
        <v>2919</v>
      </c>
      <c r="C971" t="s">
        <v>2891</v>
      </c>
      <c r="D971" t="s">
        <v>2892</v>
      </c>
      <c r="E971" t="s">
        <v>2893</v>
      </c>
      <c r="F971">
        <v>15.12</v>
      </c>
      <c r="G971" t="s">
        <v>2920</v>
      </c>
      <c r="H971" t="s">
        <v>43</v>
      </c>
      <c r="I971">
        <v>21</v>
      </c>
      <c r="J971" t="s">
        <v>2921</v>
      </c>
      <c r="K971" t="s">
        <v>2922</v>
      </c>
    </row>
    <row r="972" spans="1:11" x14ac:dyDescent="0.35">
      <c r="A972" t="s">
        <v>2918</v>
      </c>
      <c r="B972" t="s">
        <v>2919</v>
      </c>
      <c r="C972" t="s">
        <v>2891</v>
      </c>
      <c r="D972" t="s">
        <v>2903</v>
      </c>
      <c r="E972" t="s">
        <v>2904</v>
      </c>
      <c r="F972">
        <v>16.04</v>
      </c>
      <c r="G972" t="s">
        <v>1717</v>
      </c>
      <c r="H972" t="s">
        <v>43</v>
      </c>
      <c r="I972">
        <v>26</v>
      </c>
      <c r="J972" t="s">
        <v>2923</v>
      </c>
      <c r="K972" t="s">
        <v>2922</v>
      </c>
    </row>
    <row r="973" spans="1:11" x14ac:dyDescent="0.35">
      <c r="A973" t="s">
        <v>2918</v>
      </c>
      <c r="B973" t="s">
        <v>2919</v>
      </c>
      <c r="C973" t="s">
        <v>2891</v>
      </c>
      <c r="D973" t="s">
        <v>2924</v>
      </c>
      <c r="E973" t="s">
        <v>2925</v>
      </c>
      <c r="F973">
        <v>18.309999999999999</v>
      </c>
      <c r="G973" t="s">
        <v>2926</v>
      </c>
      <c r="H973" t="s">
        <v>43</v>
      </c>
      <c r="I973">
        <v>6</v>
      </c>
      <c r="J973" t="s">
        <v>2927</v>
      </c>
      <c r="K973" t="s">
        <v>2922</v>
      </c>
    </row>
    <row r="974" spans="1:11" x14ac:dyDescent="0.35">
      <c r="A974" t="s">
        <v>2918</v>
      </c>
      <c r="B974" t="s">
        <v>2919</v>
      </c>
      <c r="C974" t="s">
        <v>2891</v>
      </c>
      <c r="D974" t="s">
        <v>2928</v>
      </c>
      <c r="E974" t="s">
        <v>2929</v>
      </c>
      <c r="F974">
        <v>11.64</v>
      </c>
      <c r="G974" t="s">
        <v>2930</v>
      </c>
      <c r="H974" t="s">
        <v>43</v>
      </c>
      <c r="I974">
        <v>10</v>
      </c>
      <c r="J974" t="s">
        <v>2931</v>
      </c>
      <c r="K974" t="s">
        <v>2922</v>
      </c>
    </row>
    <row r="975" spans="1:11" x14ac:dyDescent="0.35">
      <c r="A975" t="s">
        <v>2918</v>
      </c>
      <c r="B975" t="s">
        <v>2919</v>
      </c>
      <c r="C975" t="s">
        <v>2891</v>
      </c>
      <c r="D975" t="s">
        <v>2932</v>
      </c>
      <c r="E975" t="s">
        <v>2933</v>
      </c>
      <c r="F975">
        <v>15.8</v>
      </c>
      <c r="G975" t="s">
        <v>2934</v>
      </c>
      <c r="H975" t="s">
        <v>43</v>
      </c>
      <c r="I975">
        <v>20</v>
      </c>
      <c r="J975" t="s">
        <v>2935</v>
      </c>
      <c r="K975" t="s">
        <v>2922</v>
      </c>
    </row>
    <row r="976" spans="1:11" x14ac:dyDescent="0.35">
      <c r="A976" t="s">
        <v>2918</v>
      </c>
      <c r="B976" t="s">
        <v>2919</v>
      </c>
      <c r="C976" t="s">
        <v>2891</v>
      </c>
      <c r="D976" t="s">
        <v>2896</v>
      </c>
      <c r="E976" t="s">
        <v>2897</v>
      </c>
      <c r="F976">
        <v>17.96</v>
      </c>
      <c r="G976" t="s">
        <v>213</v>
      </c>
      <c r="H976" t="s">
        <v>43</v>
      </c>
      <c r="I976">
        <v>5</v>
      </c>
      <c r="K976" t="s">
        <v>2922</v>
      </c>
    </row>
    <row r="977" spans="1:11" x14ac:dyDescent="0.35">
      <c r="A977" t="s">
        <v>2918</v>
      </c>
      <c r="B977" t="s">
        <v>2919</v>
      </c>
      <c r="C977" t="s">
        <v>2891</v>
      </c>
      <c r="D977" t="s">
        <v>2936</v>
      </c>
      <c r="E977" t="s">
        <v>2937</v>
      </c>
      <c r="F977">
        <v>13.39</v>
      </c>
      <c r="G977" t="s">
        <v>2938</v>
      </c>
      <c r="H977" t="s">
        <v>43</v>
      </c>
      <c r="I977">
        <v>8</v>
      </c>
      <c r="J977" t="s">
        <v>2939</v>
      </c>
      <c r="K977" t="s">
        <v>2922</v>
      </c>
    </row>
    <row r="978" spans="1:11" x14ac:dyDescent="0.35">
      <c r="A978" t="s">
        <v>2918</v>
      </c>
      <c r="B978" t="s">
        <v>2919</v>
      </c>
      <c r="C978" t="s">
        <v>2891</v>
      </c>
      <c r="D978" t="s">
        <v>2940</v>
      </c>
      <c r="E978" t="s">
        <v>2941</v>
      </c>
      <c r="F978">
        <v>14.85</v>
      </c>
      <c r="G978" t="s">
        <v>331</v>
      </c>
      <c r="H978" t="s">
        <v>43</v>
      </c>
      <c r="I978">
        <v>5</v>
      </c>
      <c r="K978" t="s">
        <v>2922</v>
      </c>
    </row>
    <row r="979" spans="1:11" x14ac:dyDescent="0.35">
      <c r="A979" t="s">
        <v>2918</v>
      </c>
      <c r="B979" t="s">
        <v>2919</v>
      </c>
      <c r="C979" t="s">
        <v>2891</v>
      </c>
      <c r="D979" t="s">
        <v>2942</v>
      </c>
      <c r="E979" t="s">
        <v>2943</v>
      </c>
      <c r="F979">
        <v>72768</v>
      </c>
      <c r="G979" t="s">
        <v>2944</v>
      </c>
      <c r="H979" t="s">
        <v>196</v>
      </c>
      <c r="I979">
        <v>2</v>
      </c>
      <c r="K979" t="s">
        <v>2922</v>
      </c>
    </row>
    <row r="980" spans="1:11" x14ac:dyDescent="0.35">
      <c r="A980" t="s">
        <v>2918</v>
      </c>
      <c r="B980" t="s">
        <v>2919</v>
      </c>
      <c r="C980" t="s">
        <v>80</v>
      </c>
      <c r="D980" t="s">
        <v>2194</v>
      </c>
      <c r="E980" t="s">
        <v>2195</v>
      </c>
      <c r="F980">
        <v>12.3</v>
      </c>
      <c r="G980" t="s">
        <v>2945</v>
      </c>
      <c r="H980" t="s">
        <v>43</v>
      </c>
      <c r="I980">
        <v>30</v>
      </c>
      <c r="J980" t="s">
        <v>2946</v>
      </c>
      <c r="K980" t="s">
        <v>2922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F14"/>
  <sheetViews>
    <sheetView zoomScaleNormal="100" workbookViewId="0">
      <selection activeCell="D6" sqref="D6"/>
    </sheetView>
  </sheetViews>
  <sheetFormatPr defaultColWidth="8.6328125" defaultRowHeight="14.5" x14ac:dyDescent="0.35"/>
  <cols>
    <col min="1" max="1" width="2" customWidth="1"/>
    <col min="2" max="3" width="14" customWidth="1"/>
    <col min="4" max="4" width="19.81640625" customWidth="1"/>
    <col min="5" max="5" width="14" customWidth="1"/>
    <col min="6" max="6" width="30" customWidth="1"/>
  </cols>
  <sheetData>
    <row r="2" spans="2:6" ht="16.5" x14ac:dyDescent="0.35">
      <c r="B2" s="7" t="s">
        <v>2947</v>
      </c>
    </row>
    <row r="3" spans="2:6" x14ac:dyDescent="0.35">
      <c r="B3" s="5"/>
    </row>
    <row r="5" spans="2:6" x14ac:dyDescent="0.35">
      <c r="B5" s="9" t="s">
        <v>2948</v>
      </c>
      <c r="C5" s="9" t="s">
        <v>2949</v>
      </c>
      <c r="D5" s="9" t="s">
        <v>2950</v>
      </c>
    </row>
    <row r="6" spans="2:6" x14ac:dyDescent="0.35">
      <c r="B6" s="10" t="s">
        <v>43</v>
      </c>
      <c r="C6" s="10">
        <v>2080</v>
      </c>
      <c r="D6" s="11" t="s">
        <v>2951</v>
      </c>
    </row>
    <row r="7" spans="2:6" x14ac:dyDescent="0.35">
      <c r="B7" s="10" t="s">
        <v>1025</v>
      </c>
      <c r="C7" s="10">
        <v>52</v>
      </c>
      <c r="D7" s="11" t="s">
        <v>2952</v>
      </c>
    </row>
    <row r="8" spans="2:6" x14ac:dyDescent="0.35">
      <c r="B8" s="10" t="s">
        <v>774</v>
      </c>
      <c r="C8" s="10">
        <v>12</v>
      </c>
      <c r="D8" s="11" t="s">
        <v>2953</v>
      </c>
    </row>
    <row r="9" spans="2:6" x14ac:dyDescent="0.35">
      <c r="B9" s="10" t="s">
        <v>196</v>
      </c>
      <c r="C9" s="10">
        <v>1</v>
      </c>
      <c r="D9" s="11" t="s">
        <v>2954</v>
      </c>
    </row>
    <row r="12" spans="2:6" x14ac:dyDescent="0.35">
      <c r="B12" s="1"/>
    </row>
    <row r="13" spans="2:6" x14ac:dyDescent="0.35">
      <c r="B13" s="12" t="s">
        <v>2948</v>
      </c>
      <c r="C13" s="12" t="s">
        <v>43</v>
      </c>
      <c r="D13" s="12" t="s">
        <v>1025</v>
      </c>
      <c r="E13" s="12" t="s">
        <v>774</v>
      </c>
      <c r="F13" s="12" t="s">
        <v>196</v>
      </c>
    </row>
    <row r="14" spans="2:6" x14ac:dyDescent="0.35">
      <c r="B14" s="10" t="s">
        <v>2949</v>
      </c>
      <c r="C14" s="10">
        <f>INDEX($C$6:$C$9,MATCH(C13,$B$6:$B$9,0))</f>
        <v>2080</v>
      </c>
      <c r="D14" s="10">
        <f>INDEX($C$6:$C$9,MATCH(D13,$B$6:$B$9,0))</f>
        <v>52</v>
      </c>
      <c r="E14" s="10">
        <f>INDEX($C$6:$C$9,MATCH(E13,$B$6:$B$9,0))</f>
        <v>12</v>
      </c>
      <c r="F14" s="10">
        <f>INDEX($C$6:$C$9,MATCH(F13,$B$6:$B$9,0))</f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980"/>
  <sheetViews>
    <sheetView zoomScaleNormal="100" workbookViewId="0">
      <pane ySplit="1" topLeftCell="A347" activePane="bottomLeft" state="frozen"/>
      <selection pane="bottomLeft" activeCell="B4" sqref="B4"/>
    </sheetView>
  </sheetViews>
  <sheetFormatPr defaultColWidth="8.6328125" defaultRowHeight="14.5" x14ac:dyDescent="0.35"/>
  <cols>
    <col min="1" max="1" width="18" customWidth="1"/>
    <col min="2" max="2" width="24" customWidth="1"/>
    <col min="3" max="3" width="30" customWidth="1"/>
    <col min="4" max="5" width="13" customWidth="1"/>
    <col min="6" max="7" width="14" customWidth="1"/>
    <col min="8" max="8" width="45" customWidth="1"/>
  </cols>
  <sheetData>
    <row r="1" spans="1:8" ht="28" x14ac:dyDescent="0.35">
      <c r="A1" s="9" t="s">
        <v>2955</v>
      </c>
      <c r="B1" s="9" t="s">
        <v>2956</v>
      </c>
      <c r="C1" s="9" t="s">
        <v>2957</v>
      </c>
      <c r="D1" s="9" t="s">
        <v>2958</v>
      </c>
      <c r="E1" s="9" t="s">
        <v>2959</v>
      </c>
      <c r="F1" s="9" t="s">
        <v>2960</v>
      </c>
      <c r="G1" s="9" t="s">
        <v>2961</v>
      </c>
      <c r="H1" s="9" t="s">
        <v>2962</v>
      </c>
    </row>
    <row r="2" spans="1:8" x14ac:dyDescent="0.35">
      <c r="A2" s="2" t="str">
        <f>Raw_Data!A2</f>
        <v>Walmart</v>
      </c>
      <c r="B2" s="2" t="str">
        <f>Raw_Data!C2</f>
        <v>Pharmacy</v>
      </c>
      <c r="C2" s="2" t="str">
        <f>Raw_Data!D2</f>
        <v>Pharmacy Technician</v>
      </c>
      <c r="D2" s="2">
        <f>Raw_Data!F2</f>
        <v>18.71</v>
      </c>
      <c r="E2" s="2" t="str">
        <f>Raw_Data!H2</f>
        <v>HOURLY</v>
      </c>
      <c r="F2" s="2">
        <f>Raw_Data!I2</f>
        <v>869</v>
      </c>
      <c r="G2" s="13">
        <f>D2*INDEX(Multiplier_Lookup!$C$6:$C$9,MATCH(E2,Multiplier_Lookup!$B$6:$B$9,0))</f>
        <v>38916.800000000003</v>
      </c>
      <c r="H2" s="2" t="str">
        <f t="shared" ref="H2:H65" si="0">A2&amp;"|"&amp;C2</f>
        <v>Walmart|Pharmacy Technician</v>
      </c>
    </row>
    <row r="3" spans="1:8" x14ac:dyDescent="0.35">
      <c r="A3" s="2" t="str">
        <f>Raw_Data!A3</f>
        <v>Walmart</v>
      </c>
      <c r="B3" s="2" t="str">
        <f>Raw_Data!C3</f>
        <v>Pharmacy</v>
      </c>
      <c r="C3" s="2" t="str">
        <f>Raw_Data!D3</f>
        <v>Certified Pharmacy Technician</v>
      </c>
      <c r="D3" s="2">
        <f>Raw_Data!F3</f>
        <v>20.28</v>
      </c>
      <c r="E3" s="2" t="str">
        <f>Raw_Data!H3</f>
        <v>HOURLY</v>
      </c>
      <c r="F3" s="2">
        <f>Raw_Data!I3</f>
        <v>612</v>
      </c>
      <c r="G3" s="13">
        <f>D3*INDEX(Multiplier_Lookup!$C$6:$C$9,MATCH(E3,Multiplier_Lookup!$B$6:$B$9,0))</f>
        <v>42182.400000000001</v>
      </c>
      <c r="H3" s="2" t="str">
        <f t="shared" si="0"/>
        <v>Walmart|Certified Pharmacy Technician</v>
      </c>
    </row>
    <row r="4" spans="1:8" x14ac:dyDescent="0.35">
      <c r="A4" s="2" t="str">
        <f>Raw_Data!A4</f>
        <v>Walmart</v>
      </c>
      <c r="B4" s="2" t="str">
        <f>Raw_Data!C4</f>
        <v>Pharmacy</v>
      </c>
      <c r="C4" s="2" t="str">
        <f>Raw_Data!D4</f>
        <v>Pharmacist</v>
      </c>
      <c r="D4" s="2">
        <f>Raw_Data!F4</f>
        <v>49.16</v>
      </c>
      <c r="E4" s="2" t="str">
        <f>Raw_Data!H4</f>
        <v>HOURLY</v>
      </c>
      <c r="F4" s="2">
        <f>Raw_Data!I4</f>
        <v>8</v>
      </c>
      <c r="G4" s="13">
        <f>D4*INDEX(Multiplier_Lookup!$C$6:$C$9,MATCH(E4,Multiplier_Lookup!$B$6:$B$9,0))</f>
        <v>102252.79999999999</v>
      </c>
      <c r="H4" s="2" t="str">
        <f t="shared" si="0"/>
        <v>Walmart|Pharmacist</v>
      </c>
    </row>
    <row r="5" spans="1:8" x14ac:dyDescent="0.35">
      <c r="A5" s="2" t="str">
        <f>Raw_Data!A5</f>
        <v>Walmart</v>
      </c>
      <c r="B5" s="2" t="str">
        <f>Raw_Data!C5</f>
        <v>Pharmacy</v>
      </c>
      <c r="C5" s="2" t="str">
        <f>Raw_Data!D5</f>
        <v>Staff Pharmacist</v>
      </c>
      <c r="D5" s="2">
        <f>Raw_Data!F5</f>
        <v>64.3</v>
      </c>
      <c r="E5" s="2" t="str">
        <f>Raw_Data!H5</f>
        <v>HOURLY</v>
      </c>
      <c r="F5" s="2">
        <f>Raw_Data!I5</f>
        <v>18</v>
      </c>
      <c r="G5" s="13">
        <f>D5*INDEX(Multiplier_Lookup!$C$6:$C$9,MATCH(E5,Multiplier_Lookup!$B$6:$B$9,0))</f>
        <v>133744</v>
      </c>
      <c r="H5" s="2" t="str">
        <f t="shared" si="0"/>
        <v>Walmart|Staff Pharmacist</v>
      </c>
    </row>
    <row r="6" spans="1:8" x14ac:dyDescent="0.35">
      <c r="A6" s="2" t="str">
        <f>Raw_Data!A6</f>
        <v>Walmart</v>
      </c>
      <c r="B6" s="2" t="str">
        <f>Raw_Data!C6</f>
        <v>Pharmacy</v>
      </c>
      <c r="C6" s="2" t="str">
        <f>Raw_Data!D6</f>
        <v>Pharmacy Manager</v>
      </c>
      <c r="D6" s="2">
        <f>Raw_Data!F6</f>
        <v>49.06</v>
      </c>
      <c r="E6" s="2" t="str">
        <f>Raw_Data!H6</f>
        <v>HOURLY</v>
      </c>
      <c r="F6" s="2">
        <f>Raw_Data!I6</f>
        <v>3</v>
      </c>
      <c r="G6" s="13">
        <f>D6*INDEX(Multiplier_Lookup!$C$6:$C$9,MATCH(E6,Multiplier_Lookup!$B$6:$B$9,0))</f>
        <v>102044.8</v>
      </c>
      <c r="H6" s="2" t="str">
        <f t="shared" si="0"/>
        <v>Walmart|Pharmacy Manager</v>
      </c>
    </row>
    <row r="7" spans="1:8" x14ac:dyDescent="0.35">
      <c r="A7" s="2" t="str">
        <f>Raw_Data!A7</f>
        <v>Walmart</v>
      </c>
      <c r="B7" s="2" t="str">
        <f>Raw_Data!C7</f>
        <v>Pharmacy</v>
      </c>
      <c r="C7" s="2" t="str">
        <f>Raw_Data!D7</f>
        <v>Pharmacy Assistant</v>
      </c>
      <c r="D7" s="2">
        <f>Raw_Data!F7</f>
        <v>16.12</v>
      </c>
      <c r="E7" s="2" t="str">
        <f>Raw_Data!H7</f>
        <v>HOURLY</v>
      </c>
      <c r="F7" s="2">
        <f>Raw_Data!I7</f>
        <v>40</v>
      </c>
      <c r="G7" s="13">
        <f>D7*INDEX(Multiplier_Lookup!$C$6:$C$9,MATCH(E7,Multiplier_Lookup!$B$6:$B$9,0))</f>
        <v>33529.599999999999</v>
      </c>
      <c r="H7" s="2" t="str">
        <f t="shared" si="0"/>
        <v>Walmart|Pharmacy Assistant</v>
      </c>
    </row>
    <row r="8" spans="1:8" x14ac:dyDescent="0.35">
      <c r="A8" s="2" t="str">
        <f>Raw_Data!A8</f>
        <v>Walmart</v>
      </c>
      <c r="B8" s="2" t="str">
        <f>Raw_Data!C8</f>
        <v>Pharmacy</v>
      </c>
      <c r="C8" s="2" t="str">
        <f>Raw_Data!D8</f>
        <v>Pharmacy Intern</v>
      </c>
      <c r="D8" s="2">
        <f>Raw_Data!F8</f>
        <v>23.75</v>
      </c>
      <c r="E8" s="2" t="str">
        <f>Raw_Data!H8</f>
        <v>HOURLY</v>
      </c>
      <c r="F8" s="2">
        <f>Raw_Data!I8</f>
        <v>23</v>
      </c>
      <c r="G8" s="13">
        <f>D8*INDEX(Multiplier_Lookup!$C$6:$C$9,MATCH(E8,Multiplier_Lookup!$B$6:$B$9,0))</f>
        <v>49400</v>
      </c>
      <c r="H8" s="2" t="str">
        <f t="shared" si="0"/>
        <v>Walmart|Pharmacy Intern</v>
      </c>
    </row>
    <row r="9" spans="1:8" x14ac:dyDescent="0.35">
      <c r="A9" s="2" t="str">
        <f>Raw_Data!A9</f>
        <v>Walmart</v>
      </c>
      <c r="B9" s="2" t="str">
        <f>Raw_Data!C9</f>
        <v>Pharmacy</v>
      </c>
      <c r="C9" s="2" t="str">
        <f>Raw_Data!D9</f>
        <v>Pharmacist in Charge</v>
      </c>
      <c r="D9" s="2">
        <f>Raw_Data!F9</f>
        <v>59.53</v>
      </c>
      <c r="E9" s="2" t="str">
        <f>Raw_Data!H9</f>
        <v>HOURLY</v>
      </c>
      <c r="F9" s="2">
        <f>Raw_Data!I9</f>
        <v>8</v>
      </c>
      <c r="G9" s="13">
        <f>D9*INDEX(Multiplier_Lookup!$C$6:$C$9,MATCH(E9,Multiplier_Lookup!$B$6:$B$9,0))</f>
        <v>123822.40000000001</v>
      </c>
      <c r="H9" s="2" t="str">
        <f t="shared" si="0"/>
        <v>Walmart|Pharmacist in Charge</v>
      </c>
    </row>
    <row r="10" spans="1:8" x14ac:dyDescent="0.35">
      <c r="A10" s="2" t="str">
        <f>Raw_Data!A10</f>
        <v>Walmart</v>
      </c>
      <c r="B10" s="2" t="str">
        <f>Raw_Data!C10</f>
        <v>Pharmacy</v>
      </c>
      <c r="C10" s="2" t="str">
        <f>Raw_Data!D10</f>
        <v>Pharmacy Clerk</v>
      </c>
      <c r="D10" s="2">
        <f>Raw_Data!F10</f>
        <v>17.79</v>
      </c>
      <c r="E10" s="2" t="str">
        <f>Raw_Data!H10</f>
        <v>HOURLY</v>
      </c>
      <c r="F10" s="2">
        <f>Raw_Data!I10</f>
        <v>5</v>
      </c>
      <c r="G10" s="13">
        <f>D10*INDEX(Multiplier_Lookup!$C$6:$C$9,MATCH(E10,Multiplier_Lookup!$B$6:$B$9,0))</f>
        <v>37003.199999999997</v>
      </c>
      <c r="H10" s="2" t="str">
        <f t="shared" si="0"/>
        <v>Walmart|Pharmacy Clerk</v>
      </c>
    </row>
    <row r="11" spans="1:8" x14ac:dyDescent="0.35">
      <c r="A11" s="2" t="str">
        <f>Raw_Data!A11</f>
        <v>Walmart</v>
      </c>
      <c r="B11" s="2" t="str">
        <f>Raw_Data!C11</f>
        <v>Pharmacy</v>
      </c>
      <c r="C11" s="2" t="str">
        <f>Raw_Data!D11</f>
        <v>Pharmacy Technician Intern</v>
      </c>
      <c r="D11" s="2">
        <f>Raw_Data!F11</f>
        <v>17.32</v>
      </c>
      <c r="E11" s="2" t="str">
        <f>Raw_Data!H11</f>
        <v>HOURLY</v>
      </c>
      <c r="F11" s="2">
        <f>Raw_Data!I11</f>
        <v>1</v>
      </c>
      <c r="G11" s="13">
        <f>D11*INDEX(Multiplier_Lookup!$C$6:$C$9,MATCH(E11,Multiplier_Lookup!$B$6:$B$9,0))</f>
        <v>36025.599999999999</v>
      </c>
      <c r="H11" s="2" t="str">
        <f t="shared" si="0"/>
        <v>Walmart|Pharmacy Technician Intern</v>
      </c>
    </row>
    <row r="12" spans="1:8" x14ac:dyDescent="0.35">
      <c r="A12" s="2" t="str">
        <f>Raw_Data!A12</f>
        <v>Amazon.com</v>
      </c>
      <c r="B12" s="2" t="str">
        <f>Raw_Data!C12</f>
        <v>Loading and Stocking</v>
      </c>
      <c r="C12" s="2" t="str">
        <f>Raw_Data!D12</f>
        <v>Warehouse Worker</v>
      </c>
      <c r="D12" s="2">
        <f>Raw_Data!F12</f>
        <v>18.489999999999998</v>
      </c>
      <c r="E12" s="2" t="str">
        <f>Raw_Data!H12</f>
        <v>HOURLY</v>
      </c>
      <c r="F12" s="2">
        <f>Raw_Data!I12</f>
        <v>68</v>
      </c>
      <c r="G12" s="13">
        <f>D12*INDEX(Multiplier_Lookup!$C$6:$C$9,MATCH(E12,Multiplier_Lookup!$B$6:$B$9,0))</f>
        <v>38459.199999999997</v>
      </c>
      <c r="H12" s="2" t="str">
        <f t="shared" si="0"/>
        <v>Amazon.com|Warehouse Worker</v>
      </c>
    </row>
    <row r="13" spans="1:8" x14ac:dyDescent="0.35">
      <c r="A13" s="2" t="str">
        <f>Raw_Data!A13</f>
        <v>Amazon.com</v>
      </c>
      <c r="B13" s="2" t="str">
        <f>Raw_Data!C13</f>
        <v>Loading and Stocking</v>
      </c>
      <c r="C13" s="2" t="str">
        <f>Raw_Data!D13</f>
        <v>Warehouse Associate</v>
      </c>
      <c r="D13" s="2">
        <f>Raw_Data!F13</f>
        <v>19.28</v>
      </c>
      <c r="E13" s="2" t="str">
        <f>Raw_Data!H13</f>
        <v>HOURLY</v>
      </c>
      <c r="F13" s="2">
        <f>Raw_Data!I13</f>
        <v>196</v>
      </c>
      <c r="G13" s="13">
        <f>D13*INDEX(Multiplier_Lookup!$C$6:$C$9,MATCH(E13,Multiplier_Lookup!$B$6:$B$9,0))</f>
        <v>40102.400000000001</v>
      </c>
      <c r="H13" s="2" t="str">
        <f t="shared" si="0"/>
        <v>Amazon.com|Warehouse Associate</v>
      </c>
    </row>
    <row r="14" spans="1:8" x14ac:dyDescent="0.35">
      <c r="A14" s="2" t="str">
        <f>Raw_Data!A14</f>
        <v>Amazon.com</v>
      </c>
      <c r="B14" s="2" t="str">
        <f>Raw_Data!C14</f>
        <v>Loading and Stocking</v>
      </c>
      <c r="C14" s="2" t="str">
        <f>Raw_Data!D14</f>
        <v>Fulfillment Associate</v>
      </c>
      <c r="D14" s="2">
        <f>Raw_Data!F14</f>
        <v>19.21</v>
      </c>
      <c r="E14" s="2" t="str">
        <f>Raw_Data!H14</f>
        <v>HOURLY</v>
      </c>
      <c r="F14" s="2">
        <f>Raw_Data!I14</f>
        <v>173</v>
      </c>
      <c r="G14" s="13">
        <f>D14*INDEX(Multiplier_Lookup!$C$6:$C$9,MATCH(E14,Multiplier_Lookup!$B$6:$B$9,0))</f>
        <v>39956.800000000003</v>
      </c>
      <c r="H14" s="2" t="str">
        <f t="shared" si="0"/>
        <v>Amazon.com|Fulfillment Associate</v>
      </c>
    </row>
    <row r="15" spans="1:8" x14ac:dyDescent="0.35">
      <c r="A15" s="2" t="str">
        <f>Raw_Data!A15</f>
        <v>Amazon.com</v>
      </c>
      <c r="B15" s="2" t="str">
        <f>Raw_Data!C15</f>
        <v>Loading and Stocking</v>
      </c>
      <c r="C15" s="2" t="str">
        <f>Raw_Data!D15</f>
        <v>Packer</v>
      </c>
      <c r="D15" s="2">
        <f>Raw_Data!F15</f>
        <v>19.190000000000001</v>
      </c>
      <c r="E15" s="2" t="str">
        <f>Raw_Data!H15</f>
        <v>HOURLY</v>
      </c>
      <c r="F15" s="2">
        <f>Raw_Data!I15</f>
        <v>5</v>
      </c>
      <c r="G15" s="13">
        <f>D15*INDEX(Multiplier_Lookup!$C$6:$C$9,MATCH(E15,Multiplier_Lookup!$B$6:$B$9,0))</f>
        <v>39915.200000000004</v>
      </c>
      <c r="H15" s="2" t="str">
        <f t="shared" si="0"/>
        <v>Amazon.com|Packer</v>
      </c>
    </row>
    <row r="16" spans="1:8" x14ac:dyDescent="0.35">
      <c r="A16" s="2" t="str">
        <f>Raw_Data!A16</f>
        <v>Amazon.com</v>
      </c>
      <c r="B16" s="2" t="str">
        <f>Raw_Data!C16</f>
        <v>Loading and Stocking</v>
      </c>
      <c r="C16" s="2" t="str">
        <f>Raw_Data!D16</f>
        <v>Order Picker</v>
      </c>
      <c r="D16" s="2">
        <f>Raw_Data!F16</f>
        <v>18.39</v>
      </c>
      <c r="E16" s="2" t="str">
        <f>Raw_Data!H16</f>
        <v>HOURLY</v>
      </c>
      <c r="F16" s="2">
        <f>Raw_Data!I16</f>
        <v>14</v>
      </c>
      <c r="G16" s="13">
        <f>D16*INDEX(Multiplier_Lookup!$C$6:$C$9,MATCH(E16,Multiplier_Lookup!$B$6:$B$9,0))</f>
        <v>38251.200000000004</v>
      </c>
      <c r="H16" s="2" t="str">
        <f t="shared" si="0"/>
        <v>Amazon.com|Order Picker</v>
      </c>
    </row>
    <row r="17" spans="1:8" x14ac:dyDescent="0.35">
      <c r="A17" s="2" t="str">
        <f>Raw_Data!A17</f>
        <v>Amazon.com</v>
      </c>
      <c r="B17" s="2" t="str">
        <f>Raw_Data!C17</f>
        <v>Loading and Stocking</v>
      </c>
      <c r="C17" s="2" t="str">
        <f>Raw_Data!D17</f>
        <v>Stower</v>
      </c>
      <c r="D17" s="2">
        <f>Raw_Data!F17</f>
        <v>18.07</v>
      </c>
      <c r="E17" s="2" t="str">
        <f>Raw_Data!H17</f>
        <v>HOURLY</v>
      </c>
      <c r="F17" s="2">
        <f>Raw_Data!I17</f>
        <v>25</v>
      </c>
      <c r="G17" s="13">
        <f>D17*INDEX(Multiplier_Lookup!$C$6:$C$9,MATCH(E17,Multiplier_Lookup!$B$6:$B$9,0))</f>
        <v>37585.599999999999</v>
      </c>
      <c r="H17" s="2" t="str">
        <f t="shared" si="0"/>
        <v>Amazon.com|Stower</v>
      </c>
    </row>
    <row r="18" spans="1:8" x14ac:dyDescent="0.35">
      <c r="A18" s="2" t="str">
        <f>Raw_Data!A18</f>
        <v>Amazon.com</v>
      </c>
      <c r="B18" s="2" t="str">
        <f>Raw_Data!C18</f>
        <v>Loading and Stocking</v>
      </c>
      <c r="C18" s="2" t="str">
        <f>Raw_Data!D18</f>
        <v>Package Handler</v>
      </c>
      <c r="D18" s="2">
        <f>Raw_Data!F18</f>
        <v>18.18</v>
      </c>
      <c r="E18" s="2" t="str">
        <f>Raw_Data!H18</f>
        <v>HOURLY</v>
      </c>
      <c r="F18" s="2">
        <f>Raw_Data!I18</f>
        <v>9</v>
      </c>
      <c r="G18" s="13">
        <f>D18*INDEX(Multiplier_Lookup!$C$6:$C$9,MATCH(E18,Multiplier_Lookup!$B$6:$B$9,0))</f>
        <v>37814.400000000001</v>
      </c>
      <c r="H18" s="2" t="str">
        <f t="shared" si="0"/>
        <v>Amazon.com|Package Handler</v>
      </c>
    </row>
    <row r="19" spans="1:8" x14ac:dyDescent="0.35">
      <c r="A19" s="2" t="str">
        <f>Raw_Data!A19</f>
        <v>Amazon.com</v>
      </c>
      <c r="B19" s="2" t="str">
        <f>Raw_Data!C19</f>
        <v>Loading and Stocking</v>
      </c>
      <c r="C19" s="2" t="str">
        <f>Raw_Data!D19</f>
        <v>Merchandise Flow Team Member</v>
      </c>
      <c r="D19" s="2">
        <f>Raw_Data!F19</f>
        <v>25.15</v>
      </c>
      <c r="E19" s="2" t="str">
        <f>Raw_Data!H19</f>
        <v>HOURLY</v>
      </c>
      <c r="F19" s="2">
        <f>Raw_Data!I19</f>
        <v>4</v>
      </c>
      <c r="G19" s="13">
        <f>D19*INDEX(Multiplier_Lookup!$C$6:$C$9,MATCH(E19,Multiplier_Lookup!$B$6:$B$9,0))</f>
        <v>52312</v>
      </c>
      <c r="H19" s="2" t="str">
        <f t="shared" si="0"/>
        <v>Amazon.com|Merchandise Flow Team Member</v>
      </c>
    </row>
    <row r="20" spans="1:8" x14ac:dyDescent="0.35">
      <c r="A20" s="2" t="str">
        <f>Raw_Data!A20</f>
        <v>Amazon.com</v>
      </c>
      <c r="B20" s="2" t="str">
        <f>Raw_Data!C20</f>
        <v>Loading and Stocking</v>
      </c>
      <c r="C20" s="2" t="str">
        <f>Raw_Data!D20</f>
        <v>Sorter</v>
      </c>
      <c r="D20" s="2">
        <f>Raw_Data!F20</f>
        <v>17.72</v>
      </c>
      <c r="E20" s="2" t="str">
        <f>Raw_Data!H20</f>
        <v>HOURLY</v>
      </c>
      <c r="F20" s="2">
        <f>Raw_Data!I20</f>
        <v>6</v>
      </c>
      <c r="G20" s="13">
        <f>D20*INDEX(Multiplier_Lookup!$C$6:$C$9,MATCH(E20,Multiplier_Lookup!$B$6:$B$9,0))</f>
        <v>36857.599999999999</v>
      </c>
      <c r="H20" s="2" t="str">
        <f t="shared" si="0"/>
        <v>Amazon.com|Sorter</v>
      </c>
    </row>
    <row r="21" spans="1:8" x14ac:dyDescent="0.35">
      <c r="A21" s="2" t="str">
        <f>Raw_Data!A21</f>
        <v>Amazon.com</v>
      </c>
      <c r="B21" s="2" t="str">
        <f>Raw_Data!C21</f>
        <v>Loading and Stocking</v>
      </c>
      <c r="C21" s="2" t="str">
        <f>Raw_Data!D21</f>
        <v>Problem Solver</v>
      </c>
      <c r="D21" s="2">
        <f>Raw_Data!F21</f>
        <v>17.100000000000001</v>
      </c>
      <c r="E21" s="2" t="str">
        <f>Raw_Data!H21</f>
        <v>HOURLY</v>
      </c>
      <c r="F21" s="2">
        <f>Raw_Data!I21</f>
        <v>6</v>
      </c>
      <c r="G21" s="13">
        <f>D21*INDEX(Multiplier_Lookup!$C$6:$C$9,MATCH(E21,Multiplier_Lookup!$B$6:$B$9,0))</f>
        <v>35568</v>
      </c>
      <c r="H21" s="2" t="str">
        <f t="shared" si="0"/>
        <v>Amazon.com|Problem Solver</v>
      </c>
    </row>
    <row r="22" spans="1:8" x14ac:dyDescent="0.35">
      <c r="A22" s="2" t="str">
        <f>Raw_Data!A22</f>
        <v>McDonald's</v>
      </c>
      <c r="B22" s="2" t="str">
        <f>Raw_Data!C22</f>
        <v>Instalación y mantenimiento</v>
      </c>
      <c r="C22" s="2" t="str">
        <f>Raw_Data!D22</f>
        <v>Maintenance Person</v>
      </c>
      <c r="D22" s="2">
        <f>Raw_Data!F22</f>
        <v>16.23</v>
      </c>
      <c r="E22" s="2" t="str">
        <f>Raw_Data!H22</f>
        <v>HOURLY</v>
      </c>
      <c r="F22" s="2">
        <f>Raw_Data!I22</f>
        <v>353</v>
      </c>
      <c r="G22" s="13">
        <f>D22*INDEX(Multiplier_Lookup!$C$6:$C$9,MATCH(E22,Multiplier_Lookup!$B$6:$B$9,0))</f>
        <v>33758.400000000001</v>
      </c>
      <c r="H22" s="2" t="str">
        <f t="shared" si="0"/>
        <v>McDonald's|Maintenance Person</v>
      </c>
    </row>
    <row r="23" spans="1:8" x14ac:dyDescent="0.35">
      <c r="A23" s="2" t="str">
        <f>Raw_Data!A23</f>
        <v>McDonald's</v>
      </c>
      <c r="B23" s="2" t="str">
        <f>Raw_Data!C23</f>
        <v>Instalación y mantenimiento</v>
      </c>
      <c r="C23" s="2" t="str">
        <f>Raw_Data!D23</f>
        <v>HVAC Technician</v>
      </c>
      <c r="D23" s="2">
        <f>Raw_Data!F23</f>
        <v>21.35</v>
      </c>
      <c r="E23" s="2" t="str">
        <f>Raw_Data!H23</f>
        <v>HOURLY</v>
      </c>
      <c r="F23" s="2">
        <f>Raw_Data!I23</f>
        <v>1</v>
      </c>
      <c r="G23" s="13">
        <f>D23*INDEX(Multiplier_Lookup!$C$6:$C$9,MATCH(E23,Multiplier_Lookup!$B$6:$B$9,0))</f>
        <v>44408</v>
      </c>
      <c r="H23" s="2" t="str">
        <f t="shared" si="0"/>
        <v>McDonald's|HVAC Technician</v>
      </c>
    </row>
    <row r="24" spans="1:8" x14ac:dyDescent="0.35">
      <c r="A24" s="2" t="str">
        <f>Raw_Data!A24</f>
        <v>McDonald's</v>
      </c>
      <c r="B24" s="2" t="str">
        <f>Raw_Data!C24</f>
        <v>Instalación y mantenimiento</v>
      </c>
      <c r="C24" s="2" t="str">
        <f>Raw_Data!D24</f>
        <v>Maintenance Technician</v>
      </c>
      <c r="D24" s="2">
        <f>Raw_Data!F24</f>
        <v>18.940000000000001</v>
      </c>
      <c r="E24" s="2" t="str">
        <f>Raw_Data!H24</f>
        <v>HOURLY</v>
      </c>
      <c r="F24" s="2">
        <f>Raw_Data!I24</f>
        <v>18</v>
      </c>
      <c r="G24" s="13">
        <f>D24*INDEX(Multiplier_Lookup!$C$6:$C$9,MATCH(E24,Multiplier_Lookup!$B$6:$B$9,0))</f>
        <v>39395.200000000004</v>
      </c>
      <c r="H24" s="2" t="str">
        <f t="shared" si="0"/>
        <v>McDonald's|Maintenance Technician</v>
      </c>
    </row>
    <row r="25" spans="1:8" x14ac:dyDescent="0.35">
      <c r="A25" s="2" t="str">
        <f>Raw_Data!A25</f>
        <v>McDonald's</v>
      </c>
      <c r="B25" s="2" t="str">
        <f>Raw_Data!C25</f>
        <v>Instalación y mantenimiento</v>
      </c>
      <c r="C25" s="2" t="str">
        <f>Raw_Data!D25</f>
        <v>Building Maintenance</v>
      </c>
      <c r="D25" s="2">
        <f>Raw_Data!F25</f>
        <v>20.2</v>
      </c>
      <c r="E25" s="2" t="str">
        <f>Raw_Data!H25</f>
        <v>HOURLY</v>
      </c>
      <c r="F25" s="2">
        <f>Raw_Data!I25</f>
        <v>113</v>
      </c>
      <c r="G25" s="13">
        <f>D25*INDEX(Multiplier_Lookup!$C$6:$C$9,MATCH(E25,Multiplier_Lookup!$B$6:$B$9,0))</f>
        <v>42016</v>
      </c>
      <c r="H25" s="2" t="str">
        <f t="shared" si="0"/>
        <v>McDonald's|Building Maintenance</v>
      </c>
    </row>
    <row r="26" spans="1:8" x14ac:dyDescent="0.35">
      <c r="A26" s="2" t="str">
        <f>Raw_Data!A26</f>
        <v>McDonald's</v>
      </c>
      <c r="B26" s="2" t="str">
        <f>Raw_Data!C26</f>
        <v>Instalación y mantenimiento</v>
      </c>
      <c r="C26" s="2" t="str">
        <f>Raw_Data!D26</f>
        <v>Groundskeeper</v>
      </c>
      <c r="D26" s="2">
        <f>Raw_Data!F26</f>
        <v>13.76</v>
      </c>
      <c r="E26" s="2" t="str">
        <f>Raw_Data!H26</f>
        <v>HOURLY</v>
      </c>
      <c r="F26" s="2">
        <f>Raw_Data!I26</f>
        <v>19</v>
      </c>
      <c r="G26" s="13">
        <f>D26*INDEX(Multiplier_Lookup!$C$6:$C$9,MATCH(E26,Multiplier_Lookup!$B$6:$B$9,0))</f>
        <v>28620.799999999999</v>
      </c>
      <c r="H26" s="2" t="str">
        <f t="shared" si="0"/>
        <v>McDonald's|Groundskeeper</v>
      </c>
    </row>
    <row r="27" spans="1:8" x14ac:dyDescent="0.35">
      <c r="A27" s="2" t="str">
        <f>Raw_Data!A27</f>
        <v>McDonald's</v>
      </c>
      <c r="B27" s="2" t="str">
        <f>Raw_Data!C27</f>
        <v>Instalación y mantenimiento</v>
      </c>
      <c r="C27" s="2" t="str">
        <f>Raw_Data!D27</f>
        <v>Equipment Repair Technician</v>
      </c>
      <c r="D27" s="2">
        <f>Raw_Data!F27</f>
        <v>26.83</v>
      </c>
      <c r="E27" s="2" t="str">
        <f>Raw_Data!H27</f>
        <v>HOURLY</v>
      </c>
      <c r="F27" s="2">
        <f>Raw_Data!I27</f>
        <v>19</v>
      </c>
      <c r="G27" s="13">
        <f>D27*INDEX(Multiplier_Lookup!$C$6:$C$9,MATCH(E27,Multiplier_Lookup!$B$6:$B$9,0))</f>
        <v>55806.399999999994</v>
      </c>
      <c r="H27" s="2" t="str">
        <f t="shared" si="0"/>
        <v>McDonald's|Equipment Repair Technician</v>
      </c>
    </row>
    <row r="28" spans="1:8" x14ac:dyDescent="0.35">
      <c r="A28" s="2" t="str">
        <f>Raw_Data!A28</f>
        <v>McDonald's</v>
      </c>
      <c r="B28" s="2" t="str">
        <f>Raw_Data!C28</f>
        <v>Instalación y mantenimiento</v>
      </c>
      <c r="C28" s="2" t="str">
        <f>Raw_Data!D28</f>
        <v>Refrigeration Technician</v>
      </c>
      <c r="D28" s="2">
        <f>Raw_Data!F28</f>
        <v>37.03</v>
      </c>
      <c r="E28" s="2" t="str">
        <f>Raw_Data!H28</f>
        <v>HOURLY</v>
      </c>
      <c r="F28" s="2">
        <f>Raw_Data!I28</f>
        <v>5</v>
      </c>
      <c r="G28" s="13">
        <f>D28*INDEX(Multiplier_Lookup!$C$6:$C$9,MATCH(E28,Multiplier_Lookup!$B$6:$B$9,0))</f>
        <v>77022.400000000009</v>
      </c>
      <c r="H28" s="2" t="str">
        <f t="shared" si="0"/>
        <v>McDonald's|Refrigeration Technician</v>
      </c>
    </row>
    <row r="29" spans="1:8" x14ac:dyDescent="0.35">
      <c r="A29" s="2" t="str">
        <f>Raw_Data!A29</f>
        <v>McDonald's</v>
      </c>
      <c r="B29" s="2" t="str">
        <f>Raw_Data!C29</f>
        <v>Instalación y mantenimiento</v>
      </c>
      <c r="C29" s="2" t="str">
        <f>Raw_Data!D29</f>
        <v>Facilities Maintenance Technician</v>
      </c>
      <c r="D29" s="2">
        <f>Raw_Data!F29</f>
        <v>20.09</v>
      </c>
      <c r="E29" s="2" t="str">
        <f>Raw_Data!H29</f>
        <v>HOURLY</v>
      </c>
      <c r="F29" s="2">
        <f>Raw_Data!I29</f>
        <v>9</v>
      </c>
      <c r="G29" s="13">
        <f>D29*INDEX(Multiplier_Lookup!$C$6:$C$9,MATCH(E29,Multiplier_Lookup!$B$6:$B$9,0))</f>
        <v>41787.199999999997</v>
      </c>
      <c r="H29" s="2" t="str">
        <f t="shared" si="0"/>
        <v>McDonald's|Facilities Maintenance Technician</v>
      </c>
    </row>
    <row r="30" spans="1:8" x14ac:dyDescent="0.35">
      <c r="A30" s="2" t="str">
        <f>Raw_Data!A30</f>
        <v>McDonald's</v>
      </c>
      <c r="B30" s="2" t="str">
        <f>Raw_Data!C30</f>
        <v>Instalación y mantenimiento</v>
      </c>
      <c r="C30" s="2" t="str">
        <f>Raw_Data!D30</f>
        <v>Equipment Technician</v>
      </c>
      <c r="D30" s="2">
        <f>Raw_Data!F30</f>
        <v>26.86</v>
      </c>
      <c r="E30" s="2" t="str">
        <f>Raw_Data!H30</f>
        <v>HOURLY</v>
      </c>
      <c r="F30" s="2">
        <f>Raw_Data!I30</f>
        <v>5</v>
      </c>
      <c r="G30" s="13">
        <f>D30*INDEX(Multiplier_Lookup!$C$6:$C$9,MATCH(E30,Multiplier_Lookup!$B$6:$B$9,0))</f>
        <v>55868.799999999996</v>
      </c>
      <c r="H30" s="2" t="str">
        <f t="shared" si="0"/>
        <v>McDonald's|Equipment Technician</v>
      </c>
    </row>
    <row r="31" spans="1:8" x14ac:dyDescent="0.35">
      <c r="A31" s="2" t="str">
        <f>Raw_Data!A31</f>
        <v>McDonald's</v>
      </c>
      <c r="B31" s="2" t="str">
        <f>Raw_Data!C31</f>
        <v>Instalación y mantenimiento</v>
      </c>
      <c r="C31" s="2" t="str">
        <f>Raw_Data!D31</f>
        <v>Field Service Technician</v>
      </c>
      <c r="D31" s="2">
        <f>Raw_Data!F31</f>
        <v>22</v>
      </c>
      <c r="E31" s="2" t="str">
        <f>Raw_Data!H31</f>
        <v>HOURLY</v>
      </c>
      <c r="F31" s="2">
        <f>Raw_Data!I31</f>
        <v>5</v>
      </c>
      <c r="G31" s="13">
        <f>D31*INDEX(Multiplier_Lookup!$C$6:$C$9,MATCH(E31,Multiplier_Lookup!$B$6:$B$9,0))</f>
        <v>45760</v>
      </c>
      <c r="H31" s="2" t="str">
        <f t="shared" si="0"/>
        <v>McDonald's|Field Service Technician</v>
      </c>
    </row>
    <row r="32" spans="1:8" x14ac:dyDescent="0.35">
      <c r="A32" s="2" t="str">
        <f>Raw_Data!A32</f>
        <v>Target</v>
      </c>
      <c r="B32" s="2" t="str">
        <f>Raw_Data!C32</f>
        <v>Food Preparation &amp; Service</v>
      </c>
      <c r="C32" s="2" t="str">
        <f>Raw_Data!D32</f>
        <v>Barista</v>
      </c>
      <c r="D32" s="2">
        <f>Raw_Data!F32</f>
        <v>16.16</v>
      </c>
      <c r="E32" s="2" t="str">
        <f>Raw_Data!H32</f>
        <v>HOURLY</v>
      </c>
      <c r="F32" s="2">
        <f>Raw_Data!I32</f>
        <v>57</v>
      </c>
      <c r="G32" s="13">
        <f>D32*INDEX(Multiplier_Lookup!$C$6:$C$9,MATCH(E32,Multiplier_Lookup!$B$6:$B$9,0))</f>
        <v>33612.800000000003</v>
      </c>
      <c r="H32" s="2" t="str">
        <f t="shared" si="0"/>
        <v>Target|Barista</v>
      </c>
    </row>
    <row r="33" spans="1:8" x14ac:dyDescent="0.35">
      <c r="A33" s="2" t="str">
        <f>Raw_Data!A33</f>
        <v>Target</v>
      </c>
      <c r="B33" s="2" t="str">
        <f>Raw_Data!C33</f>
        <v>Food Preparation &amp; Service</v>
      </c>
      <c r="C33" s="2" t="str">
        <f>Raw_Data!D33</f>
        <v>Food &amp; Beverage Team Leader</v>
      </c>
      <c r="D33" s="2">
        <f>Raw_Data!F33</f>
        <v>29.19</v>
      </c>
      <c r="E33" s="2" t="str">
        <f>Raw_Data!H33</f>
        <v>HOURLY</v>
      </c>
      <c r="F33" s="2">
        <f>Raw_Data!I33</f>
        <v>21</v>
      </c>
      <c r="G33" s="13">
        <f>D33*INDEX(Multiplier_Lookup!$C$6:$C$9,MATCH(E33,Multiplier_Lookup!$B$6:$B$9,0))</f>
        <v>60715.200000000004</v>
      </c>
      <c r="H33" s="2" t="str">
        <f t="shared" si="0"/>
        <v>Target|Food &amp; Beverage Team Leader</v>
      </c>
    </row>
    <row r="34" spans="1:8" x14ac:dyDescent="0.35">
      <c r="A34" s="2" t="str">
        <f>Raw_Data!A34</f>
        <v>Target</v>
      </c>
      <c r="B34" s="2" t="str">
        <f>Raw_Data!C34</f>
        <v>Food Preparation &amp; Service</v>
      </c>
      <c r="C34" s="2" t="str">
        <f>Raw_Data!D34</f>
        <v>Back of House Team Member</v>
      </c>
      <c r="D34" s="2">
        <f>Raw_Data!F34</f>
        <v>10.8</v>
      </c>
      <c r="E34" s="2" t="str">
        <f>Raw_Data!H34</f>
        <v>HOURLY</v>
      </c>
      <c r="F34" s="2">
        <f>Raw_Data!I34</f>
        <v>32</v>
      </c>
      <c r="G34" s="13">
        <f>D34*INDEX(Multiplier_Lookup!$C$6:$C$9,MATCH(E34,Multiplier_Lookup!$B$6:$B$9,0))</f>
        <v>22464</v>
      </c>
      <c r="H34" s="2" t="str">
        <f t="shared" si="0"/>
        <v>Target|Back of House Team Member</v>
      </c>
    </row>
    <row r="35" spans="1:8" x14ac:dyDescent="0.35">
      <c r="A35" s="2" t="str">
        <f>Raw_Data!A35</f>
        <v>Target</v>
      </c>
      <c r="B35" s="2" t="str">
        <f>Raw_Data!C35</f>
        <v>Food Preparation &amp; Service</v>
      </c>
      <c r="C35" s="2" t="str">
        <f>Raw_Data!D35</f>
        <v>Service Leader</v>
      </c>
      <c r="D35" s="2">
        <f>Raw_Data!F35</f>
        <v>28.26</v>
      </c>
      <c r="E35" s="2" t="str">
        <f>Raw_Data!H35</f>
        <v>HOURLY</v>
      </c>
      <c r="F35" s="2">
        <f>Raw_Data!I35</f>
        <v>19</v>
      </c>
      <c r="G35" s="13">
        <f>D35*INDEX(Multiplier_Lookup!$C$6:$C$9,MATCH(E35,Multiplier_Lookup!$B$6:$B$9,0))</f>
        <v>58780.800000000003</v>
      </c>
      <c r="H35" s="2" t="str">
        <f t="shared" si="0"/>
        <v>Target|Service Leader</v>
      </c>
    </row>
    <row r="36" spans="1:8" x14ac:dyDescent="0.35">
      <c r="A36" s="2" t="str">
        <f>Raw_Data!A36</f>
        <v>Target</v>
      </c>
      <c r="B36" s="2" t="str">
        <f>Raw_Data!C36</f>
        <v>Food Preparation &amp; Service</v>
      </c>
      <c r="C36" s="2" t="str">
        <f>Raw_Data!D36</f>
        <v>Food Service Worker</v>
      </c>
      <c r="D36" s="2">
        <f>Raw_Data!F36</f>
        <v>16.29</v>
      </c>
      <c r="E36" s="2" t="str">
        <f>Raw_Data!H36</f>
        <v>HOURLY</v>
      </c>
      <c r="F36" s="2">
        <f>Raw_Data!I36</f>
        <v>10</v>
      </c>
      <c r="G36" s="13">
        <f>D36*INDEX(Multiplier_Lookup!$C$6:$C$9,MATCH(E36,Multiplier_Lookup!$B$6:$B$9,0))</f>
        <v>33883.199999999997</v>
      </c>
      <c r="H36" s="2" t="str">
        <f t="shared" si="0"/>
        <v>Target|Food Service Worker</v>
      </c>
    </row>
    <row r="37" spans="1:8" x14ac:dyDescent="0.35">
      <c r="A37" s="2" t="str">
        <f>Raw_Data!A37</f>
        <v>Target</v>
      </c>
      <c r="B37" s="2" t="str">
        <f>Raw_Data!C37</f>
        <v>Food Preparation &amp; Service</v>
      </c>
      <c r="C37" s="2" t="str">
        <f>Raw_Data!D37</f>
        <v>Deli Associate</v>
      </c>
      <c r="D37" s="2">
        <f>Raw_Data!F37</f>
        <v>14.76</v>
      </c>
      <c r="E37" s="2" t="str">
        <f>Raw_Data!H37</f>
        <v>HOURLY</v>
      </c>
      <c r="F37" s="2">
        <f>Raw_Data!I37</f>
        <v>8</v>
      </c>
      <c r="G37" s="13">
        <f>D37*INDEX(Multiplier_Lookup!$C$6:$C$9,MATCH(E37,Multiplier_Lookup!$B$6:$B$9,0))</f>
        <v>30700.799999999999</v>
      </c>
      <c r="H37" s="2" t="str">
        <f t="shared" si="0"/>
        <v>Target|Deli Associate</v>
      </c>
    </row>
    <row r="38" spans="1:8" x14ac:dyDescent="0.35">
      <c r="A38" s="2" t="str">
        <f>Raw_Data!A38</f>
        <v>Target</v>
      </c>
      <c r="B38" s="2" t="str">
        <f>Raw_Data!C38</f>
        <v>Food Preparation &amp; Service</v>
      </c>
      <c r="C38" s="2" t="str">
        <f>Raw_Data!D38</f>
        <v>Food Service Associate</v>
      </c>
      <c r="D38" s="2">
        <f>Raw_Data!F38</f>
        <v>16.87</v>
      </c>
      <c r="E38" s="2" t="str">
        <f>Raw_Data!H38</f>
        <v>HOURLY</v>
      </c>
      <c r="F38" s="2">
        <f>Raw_Data!I38</f>
        <v>7</v>
      </c>
      <c r="G38" s="13">
        <f>D38*INDEX(Multiplier_Lookup!$C$6:$C$9,MATCH(E38,Multiplier_Lookup!$B$6:$B$9,0))</f>
        <v>35089.599999999999</v>
      </c>
      <c r="H38" s="2" t="str">
        <f t="shared" si="0"/>
        <v>Target|Food Service Associate</v>
      </c>
    </row>
    <row r="39" spans="1:8" x14ac:dyDescent="0.35">
      <c r="A39" s="2" t="str">
        <f>Raw_Data!A39</f>
        <v>Target</v>
      </c>
      <c r="B39" s="2" t="str">
        <f>Raw_Data!C39</f>
        <v>Food Preparation &amp; Service</v>
      </c>
      <c r="C39" s="2" t="str">
        <f>Raw_Data!D39</f>
        <v>Director of Food and Beverage</v>
      </c>
      <c r="D39" s="2">
        <f>Raw_Data!F39</f>
        <v>17.2</v>
      </c>
      <c r="E39" s="2" t="str">
        <f>Raw_Data!H39</f>
        <v>HOURLY</v>
      </c>
      <c r="F39" s="2">
        <f>Raw_Data!I39</f>
        <v>4</v>
      </c>
      <c r="G39" s="13">
        <f>D39*INDEX(Multiplier_Lookup!$C$6:$C$9,MATCH(E39,Multiplier_Lookup!$B$6:$B$9,0))</f>
        <v>35776</v>
      </c>
      <c r="H39" s="2" t="str">
        <f t="shared" si="0"/>
        <v>Target|Director of Food and Beverage</v>
      </c>
    </row>
    <row r="40" spans="1:8" x14ac:dyDescent="0.35">
      <c r="A40" s="2" t="str">
        <f>Raw_Data!A40</f>
        <v>Target</v>
      </c>
      <c r="B40" s="2" t="str">
        <f>Raw_Data!C40</f>
        <v>Food Preparation &amp; Service</v>
      </c>
      <c r="C40" s="2" t="str">
        <f>Raw_Data!D40</f>
        <v>Bakery Team Leader</v>
      </c>
      <c r="D40" s="2">
        <f>Raw_Data!F40</f>
        <v>23.05</v>
      </c>
      <c r="E40" s="2" t="str">
        <f>Raw_Data!H40</f>
        <v>HOURLY</v>
      </c>
      <c r="F40" s="2">
        <f>Raw_Data!I40</f>
        <v>2</v>
      </c>
      <c r="G40" s="13">
        <f>D40*INDEX(Multiplier_Lookup!$C$6:$C$9,MATCH(E40,Multiplier_Lookup!$B$6:$B$9,0))</f>
        <v>47944</v>
      </c>
      <c r="H40" s="2" t="str">
        <f t="shared" si="0"/>
        <v>Target|Bakery Team Leader</v>
      </c>
    </row>
    <row r="41" spans="1:8" x14ac:dyDescent="0.35">
      <c r="A41" s="2" t="str">
        <f>Raw_Data!A41</f>
        <v>Target</v>
      </c>
      <c r="B41" s="2" t="str">
        <f>Raw_Data!C41</f>
        <v>Food Preparation &amp; Service</v>
      </c>
      <c r="C41" s="2" t="str">
        <f>Raw_Data!D41</f>
        <v>Kitchen Team Member</v>
      </c>
      <c r="D41" s="2">
        <f>Raw_Data!F41</f>
        <v>98502</v>
      </c>
      <c r="E41" s="2" t="str">
        <f>Raw_Data!H41</f>
        <v>YEARLY</v>
      </c>
      <c r="F41" s="2">
        <f>Raw_Data!I41</f>
        <v>1</v>
      </c>
      <c r="G41" s="13">
        <f>D41*INDEX(Multiplier_Lookup!$C$6:$C$9,MATCH(E41,Multiplier_Lookup!$B$6:$B$9,0))</f>
        <v>98502</v>
      </c>
      <c r="H41" s="2" t="str">
        <f t="shared" si="0"/>
        <v>Target|Kitchen Team Member</v>
      </c>
    </row>
    <row r="42" spans="1:8" x14ac:dyDescent="0.35">
      <c r="A42" s="2" t="str">
        <f>Raw_Data!A42</f>
        <v>Starbucks</v>
      </c>
      <c r="B42" s="2" t="str">
        <f>Raw_Data!C42</f>
        <v>Retail</v>
      </c>
      <c r="C42" s="2" t="str">
        <f>Raw_Data!D42</f>
        <v>Store Manager</v>
      </c>
      <c r="D42" s="2">
        <f>Raw_Data!F42</f>
        <v>72109</v>
      </c>
      <c r="E42" s="2" t="str">
        <f>Raw_Data!H42</f>
        <v>YEARLY</v>
      </c>
      <c r="F42" s="2">
        <f>Raw_Data!I42</f>
        <v>96</v>
      </c>
      <c r="G42" s="13">
        <f>D42*INDEX(Multiplier_Lookup!$C$6:$C$9,MATCH(E42,Multiplier_Lookup!$B$6:$B$9,0))</f>
        <v>72109</v>
      </c>
      <c r="H42" s="2" t="str">
        <f t="shared" si="0"/>
        <v>Starbucks|Store Manager</v>
      </c>
    </row>
    <row r="43" spans="1:8" x14ac:dyDescent="0.35">
      <c r="A43" s="2" t="str">
        <f>Raw_Data!A43</f>
        <v>Starbucks</v>
      </c>
      <c r="B43" s="2" t="str">
        <f>Raw_Data!C43</f>
        <v>Retail</v>
      </c>
      <c r="C43" s="2" t="str">
        <f>Raw_Data!D43</f>
        <v>Assistant Store Manager</v>
      </c>
      <c r="D43" s="2">
        <f>Raw_Data!F43</f>
        <v>51921</v>
      </c>
      <c r="E43" s="2" t="str">
        <f>Raw_Data!H43</f>
        <v>YEARLY</v>
      </c>
      <c r="F43" s="2">
        <f>Raw_Data!I43</f>
        <v>16</v>
      </c>
      <c r="G43" s="13">
        <f>D43*INDEX(Multiplier_Lookup!$C$6:$C$9,MATCH(E43,Multiplier_Lookup!$B$6:$B$9,0))</f>
        <v>51921</v>
      </c>
      <c r="H43" s="2" t="str">
        <f t="shared" si="0"/>
        <v>Starbucks|Assistant Store Manager</v>
      </c>
    </row>
    <row r="44" spans="1:8" x14ac:dyDescent="0.35">
      <c r="A44" s="2" t="str">
        <f>Raw_Data!A44</f>
        <v>Starbucks</v>
      </c>
      <c r="B44" s="2" t="str">
        <f>Raw_Data!C44</f>
        <v>Retail</v>
      </c>
      <c r="C44" s="2" t="str">
        <f>Raw_Data!D44</f>
        <v>Cashier</v>
      </c>
      <c r="D44" s="2">
        <f>Raw_Data!F44</f>
        <v>14.65</v>
      </c>
      <c r="E44" s="2" t="str">
        <f>Raw_Data!H44</f>
        <v>HOURLY</v>
      </c>
      <c r="F44" s="2">
        <f>Raw_Data!I44</f>
        <v>6</v>
      </c>
      <c r="G44" s="13">
        <f>D44*INDEX(Multiplier_Lookup!$C$6:$C$9,MATCH(E44,Multiplier_Lookup!$B$6:$B$9,0))</f>
        <v>30472</v>
      </c>
      <c r="H44" s="2" t="str">
        <f t="shared" si="0"/>
        <v>Starbucks|Cashier</v>
      </c>
    </row>
    <row r="45" spans="1:8" x14ac:dyDescent="0.35">
      <c r="A45" s="2" t="str">
        <f>Raw_Data!A45</f>
        <v>Starbucks</v>
      </c>
      <c r="B45" s="2" t="str">
        <f>Raw_Data!C45</f>
        <v>Retail</v>
      </c>
      <c r="C45" s="2" t="str">
        <f>Raw_Data!D45</f>
        <v>Retail Assistant Manager</v>
      </c>
      <c r="D45" s="2">
        <f>Raw_Data!F45</f>
        <v>17.96</v>
      </c>
      <c r="E45" s="2" t="str">
        <f>Raw_Data!H45</f>
        <v>HOURLY</v>
      </c>
      <c r="F45" s="2">
        <f>Raw_Data!I45</f>
        <v>5</v>
      </c>
      <c r="G45" s="13">
        <f>D45*INDEX(Multiplier_Lookup!$C$6:$C$9,MATCH(E45,Multiplier_Lookup!$B$6:$B$9,0))</f>
        <v>37356.800000000003</v>
      </c>
      <c r="H45" s="2" t="str">
        <f t="shared" si="0"/>
        <v>Starbucks|Retail Assistant Manager</v>
      </c>
    </row>
    <row r="46" spans="1:8" x14ac:dyDescent="0.35">
      <c r="A46" s="2" t="str">
        <f>Raw_Data!A46</f>
        <v>Starbucks</v>
      </c>
      <c r="B46" s="2" t="str">
        <f>Raw_Data!C46</f>
        <v>Retail</v>
      </c>
      <c r="C46" s="2" t="str">
        <f>Raw_Data!D46</f>
        <v>Retail Store Manager</v>
      </c>
      <c r="D46" s="2">
        <f>Raw_Data!F46</f>
        <v>60529</v>
      </c>
      <c r="E46" s="2" t="str">
        <f>Raw_Data!H46</f>
        <v>YEARLY</v>
      </c>
      <c r="F46" s="2">
        <f>Raw_Data!I46</f>
        <v>14</v>
      </c>
      <c r="G46" s="13">
        <f>D46*INDEX(Multiplier_Lookup!$C$6:$C$9,MATCH(E46,Multiplier_Lookup!$B$6:$B$9,0))</f>
        <v>60529</v>
      </c>
      <c r="H46" s="2" t="str">
        <f t="shared" si="0"/>
        <v>Starbucks|Retail Store Manager</v>
      </c>
    </row>
    <row r="47" spans="1:8" x14ac:dyDescent="0.35">
      <c r="A47" s="2" t="str">
        <f>Raw_Data!A47</f>
        <v>Starbucks</v>
      </c>
      <c r="B47" s="2" t="str">
        <f>Raw_Data!C47</f>
        <v>Retail</v>
      </c>
      <c r="C47" s="2" t="str">
        <f>Raw_Data!D47</f>
        <v>Retail Sales Associate</v>
      </c>
      <c r="D47" s="2">
        <f>Raw_Data!F47</f>
        <v>68333</v>
      </c>
      <c r="E47" s="2" t="str">
        <f>Raw_Data!H47</f>
        <v>YEARLY</v>
      </c>
      <c r="F47" s="2">
        <f>Raw_Data!I47</f>
        <v>2</v>
      </c>
      <c r="G47" s="13">
        <f>D47*INDEX(Multiplier_Lookup!$C$6:$C$9,MATCH(E47,Multiplier_Lookup!$B$6:$B$9,0))</f>
        <v>68333</v>
      </c>
      <c r="H47" s="2" t="str">
        <f t="shared" si="0"/>
        <v>Starbucks|Retail Sales Associate</v>
      </c>
    </row>
    <row r="48" spans="1:8" x14ac:dyDescent="0.35">
      <c r="A48" s="2" t="str">
        <f>Raw_Data!A48</f>
        <v>Starbucks</v>
      </c>
      <c r="B48" s="2" t="str">
        <f>Raw_Data!C48</f>
        <v>Retail</v>
      </c>
      <c r="C48" s="2" t="str">
        <f>Raw_Data!D48</f>
        <v>Customer Service Associate / Cashier</v>
      </c>
      <c r="D48" s="2">
        <f>Raw_Data!F48</f>
        <v>16.649999999999999</v>
      </c>
      <c r="E48" s="2" t="str">
        <f>Raw_Data!H48</f>
        <v>HOURLY</v>
      </c>
      <c r="F48" s="2">
        <f>Raw_Data!I48</f>
        <v>5</v>
      </c>
      <c r="G48" s="13">
        <f>D48*INDEX(Multiplier_Lookup!$C$6:$C$9,MATCH(E48,Multiplier_Lookup!$B$6:$B$9,0))</f>
        <v>34632</v>
      </c>
      <c r="H48" s="2" t="str">
        <f t="shared" si="0"/>
        <v>Starbucks|Customer Service Associate / Cashier</v>
      </c>
    </row>
    <row r="49" spans="1:8" x14ac:dyDescent="0.35">
      <c r="A49" s="2" t="str">
        <f>Raw_Data!A49</f>
        <v>Starbucks</v>
      </c>
      <c r="B49" s="2" t="str">
        <f>Raw_Data!C49</f>
        <v>Retail</v>
      </c>
      <c r="C49" s="2" t="str">
        <f>Raw_Data!D49</f>
        <v>Stocking Associate</v>
      </c>
      <c r="D49" s="2">
        <f>Raw_Data!F49</f>
        <v>19.899999999999999</v>
      </c>
      <c r="E49" s="2" t="str">
        <f>Raw_Data!H49</f>
        <v>HOURLY</v>
      </c>
      <c r="F49" s="2">
        <f>Raw_Data!I49</f>
        <v>3</v>
      </c>
      <c r="G49" s="13">
        <f>D49*INDEX(Multiplier_Lookup!$C$6:$C$9,MATCH(E49,Multiplier_Lookup!$B$6:$B$9,0))</f>
        <v>41392</v>
      </c>
      <c r="H49" s="2" t="str">
        <f t="shared" si="0"/>
        <v>Starbucks|Stocking Associate</v>
      </c>
    </row>
    <row r="50" spans="1:8" x14ac:dyDescent="0.35">
      <c r="A50" s="2" t="str">
        <f>Raw_Data!A50</f>
        <v>Starbucks</v>
      </c>
      <c r="B50" s="2" t="str">
        <f>Raw_Data!C50</f>
        <v>Retail</v>
      </c>
      <c r="C50" s="2" t="str">
        <f>Raw_Data!D50</f>
        <v>Store Director</v>
      </c>
      <c r="D50" s="2">
        <f>Raw_Data!F50</f>
        <v>64809</v>
      </c>
      <c r="E50" s="2" t="str">
        <f>Raw_Data!H50</f>
        <v>YEARLY</v>
      </c>
      <c r="F50" s="2">
        <f>Raw_Data!I50</f>
        <v>1</v>
      </c>
      <c r="G50" s="13">
        <f>D50*INDEX(Multiplier_Lookup!$C$6:$C$9,MATCH(E50,Multiplier_Lookup!$B$6:$B$9,0))</f>
        <v>64809</v>
      </c>
      <c r="H50" s="2" t="str">
        <f t="shared" si="0"/>
        <v>Starbucks|Store Director</v>
      </c>
    </row>
    <row r="51" spans="1:8" x14ac:dyDescent="0.35">
      <c r="A51" s="2" t="str">
        <f>Raw_Data!A51</f>
        <v>Starbucks</v>
      </c>
      <c r="B51" s="2" t="str">
        <f>Raw_Data!C51</f>
        <v>Retail</v>
      </c>
      <c r="C51" s="2" t="str">
        <f>Raw_Data!D51</f>
        <v>Produce Manager</v>
      </c>
      <c r="D51" s="2">
        <f>Raw_Data!F51</f>
        <v>18.97</v>
      </c>
      <c r="E51" s="2" t="str">
        <f>Raw_Data!H51</f>
        <v>HOURLY</v>
      </c>
      <c r="F51" s="2">
        <f>Raw_Data!I51</f>
        <v>1</v>
      </c>
      <c r="G51" s="13">
        <f>D51*INDEX(Multiplier_Lookup!$C$6:$C$9,MATCH(E51,Multiplier_Lookup!$B$6:$B$9,0))</f>
        <v>39457.599999999999</v>
      </c>
      <c r="H51" s="2" t="str">
        <f t="shared" si="0"/>
        <v>Starbucks|Produce Manager</v>
      </c>
    </row>
    <row r="52" spans="1:8" x14ac:dyDescent="0.35">
      <c r="A52" s="2" t="str">
        <f>Raw_Data!A52</f>
        <v>The Home Depot</v>
      </c>
      <c r="B52" s="2" t="str">
        <f>Raw_Data!C52</f>
        <v>Management</v>
      </c>
      <c r="C52" s="2" t="str">
        <f>Raw_Data!D52</f>
        <v>Manager</v>
      </c>
      <c r="D52" s="2">
        <f>Raw_Data!F52</f>
        <v>114214</v>
      </c>
      <c r="E52" s="2" t="str">
        <f>Raw_Data!H52</f>
        <v>YEARLY</v>
      </c>
      <c r="F52" s="2">
        <f>Raw_Data!I52</f>
        <v>7</v>
      </c>
      <c r="G52" s="13">
        <f>D52*INDEX(Multiplier_Lookup!$C$6:$C$9,MATCH(E52,Multiplier_Lookup!$B$6:$B$9,0))</f>
        <v>114214</v>
      </c>
      <c r="H52" s="2" t="str">
        <f t="shared" si="0"/>
        <v>The Home Depot|Manager</v>
      </c>
    </row>
    <row r="53" spans="1:8" x14ac:dyDescent="0.35">
      <c r="A53" s="2" t="str">
        <f>Raw_Data!A53</f>
        <v>The Home Depot</v>
      </c>
      <c r="B53" s="2" t="str">
        <f>Raw_Data!C53</f>
        <v>Management</v>
      </c>
      <c r="C53" s="2" t="str">
        <f>Raw_Data!D53</f>
        <v>Supervisor</v>
      </c>
      <c r="D53" s="2">
        <f>Raw_Data!F53</f>
        <v>60587</v>
      </c>
      <c r="E53" s="2" t="str">
        <f>Raw_Data!H53</f>
        <v>YEARLY</v>
      </c>
      <c r="F53" s="2">
        <f>Raw_Data!I53</f>
        <v>7</v>
      </c>
      <c r="G53" s="13">
        <f>D53*INDEX(Multiplier_Lookup!$C$6:$C$9,MATCH(E53,Multiplier_Lookup!$B$6:$B$9,0))</f>
        <v>60587</v>
      </c>
      <c r="H53" s="2" t="str">
        <f t="shared" si="0"/>
        <v>The Home Depot|Supervisor</v>
      </c>
    </row>
    <row r="54" spans="1:8" x14ac:dyDescent="0.35">
      <c r="A54" s="2" t="str">
        <f>Raw_Data!A54</f>
        <v>The Home Depot</v>
      </c>
      <c r="B54" s="2" t="str">
        <f>Raw_Data!C54</f>
        <v>Management</v>
      </c>
      <c r="C54" s="2" t="str">
        <f>Raw_Data!D54</f>
        <v>Operations Manager</v>
      </c>
      <c r="D54" s="2">
        <f>Raw_Data!F54</f>
        <v>83227</v>
      </c>
      <c r="E54" s="2" t="str">
        <f>Raw_Data!H54</f>
        <v>YEARLY</v>
      </c>
      <c r="F54" s="2">
        <f>Raw_Data!I54</f>
        <v>7</v>
      </c>
      <c r="G54" s="13">
        <f>D54*INDEX(Multiplier_Lookup!$C$6:$C$9,MATCH(E54,Multiplier_Lookup!$B$6:$B$9,0))</f>
        <v>83227</v>
      </c>
      <c r="H54" s="2" t="str">
        <f t="shared" si="0"/>
        <v>The Home Depot|Operations Manager</v>
      </c>
    </row>
    <row r="55" spans="1:8" x14ac:dyDescent="0.35">
      <c r="A55" s="2" t="str">
        <f>Raw_Data!A55</f>
        <v>The Home Depot</v>
      </c>
      <c r="B55" s="2" t="str">
        <f>Raw_Data!C55</f>
        <v>Management</v>
      </c>
      <c r="C55" s="2" t="str">
        <f>Raw_Data!D55</f>
        <v>Senior Manager</v>
      </c>
      <c r="D55" s="2">
        <f>Raw_Data!F55</f>
        <v>165505</v>
      </c>
      <c r="E55" s="2" t="str">
        <f>Raw_Data!H55</f>
        <v>YEARLY</v>
      </c>
      <c r="F55" s="2">
        <f>Raw_Data!I55</f>
        <v>11</v>
      </c>
      <c r="G55" s="13">
        <f>D55*INDEX(Multiplier_Lookup!$C$6:$C$9,MATCH(E55,Multiplier_Lookup!$B$6:$B$9,0))</f>
        <v>165505</v>
      </c>
      <c r="H55" s="2" t="str">
        <f t="shared" si="0"/>
        <v>The Home Depot|Senior Manager</v>
      </c>
    </row>
    <row r="56" spans="1:8" x14ac:dyDescent="0.35">
      <c r="A56" s="2" t="str">
        <f>Raw_Data!A56</f>
        <v>The Home Depot</v>
      </c>
      <c r="B56" s="2" t="str">
        <f>Raw_Data!C56</f>
        <v>Management</v>
      </c>
      <c r="C56" s="2" t="str">
        <f>Raw_Data!D56</f>
        <v>Director</v>
      </c>
      <c r="D56" s="2">
        <f>Raw_Data!F56</f>
        <v>191558</v>
      </c>
      <c r="E56" s="2" t="str">
        <f>Raw_Data!H56</f>
        <v>YEARLY</v>
      </c>
      <c r="F56" s="2">
        <f>Raw_Data!I56</f>
        <v>5</v>
      </c>
      <c r="G56" s="13">
        <f>D56*INDEX(Multiplier_Lookup!$C$6:$C$9,MATCH(E56,Multiplier_Lookup!$B$6:$B$9,0))</f>
        <v>191558</v>
      </c>
      <c r="H56" s="2" t="str">
        <f t="shared" si="0"/>
        <v>The Home Depot|Director</v>
      </c>
    </row>
    <row r="57" spans="1:8" x14ac:dyDescent="0.35">
      <c r="A57" s="2" t="str">
        <f>Raw_Data!A57</f>
        <v>The Home Depot</v>
      </c>
      <c r="B57" s="2" t="str">
        <f>Raw_Data!C57</f>
        <v>Management</v>
      </c>
      <c r="C57" s="2" t="str">
        <f>Raw_Data!D57</f>
        <v>Assistant Manager</v>
      </c>
      <c r="D57" s="2">
        <f>Raw_Data!F57</f>
        <v>69671</v>
      </c>
      <c r="E57" s="2" t="str">
        <f>Raw_Data!H57</f>
        <v>YEARLY</v>
      </c>
      <c r="F57" s="2">
        <f>Raw_Data!I57</f>
        <v>6</v>
      </c>
      <c r="G57" s="13">
        <f>D57*INDEX(Multiplier_Lookup!$C$6:$C$9,MATCH(E57,Multiplier_Lookup!$B$6:$B$9,0))</f>
        <v>69671</v>
      </c>
      <c r="H57" s="2" t="str">
        <f t="shared" si="0"/>
        <v>The Home Depot|Assistant Manager</v>
      </c>
    </row>
    <row r="58" spans="1:8" x14ac:dyDescent="0.35">
      <c r="A58" s="2" t="str">
        <f>Raw_Data!A58</f>
        <v>The Home Depot</v>
      </c>
      <c r="B58" s="2" t="str">
        <f>Raw_Data!C58</f>
        <v>Management</v>
      </c>
      <c r="C58" s="2" t="str">
        <f>Raw_Data!D58</f>
        <v>Area Supervisor</v>
      </c>
      <c r="D58" s="2">
        <f>Raw_Data!F58</f>
        <v>66066</v>
      </c>
      <c r="E58" s="2" t="str">
        <f>Raw_Data!H58</f>
        <v>YEARLY</v>
      </c>
      <c r="F58" s="2">
        <f>Raw_Data!I58</f>
        <v>13</v>
      </c>
      <c r="G58" s="13">
        <f>D58*INDEX(Multiplier_Lookup!$C$6:$C$9,MATCH(E58,Multiplier_Lookup!$B$6:$B$9,0))</f>
        <v>66066</v>
      </c>
      <c r="H58" s="2" t="str">
        <f t="shared" si="0"/>
        <v>The Home Depot|Area Supervisor</v>
      </c>
    </row>
    <row r="59" spans="1:8" x14ac:dyDescent="0.35">
      <c r="A59" s="2" t="str">
        <f>Raw_Data!A59</f>
        <v>The Home Depot</v>
      </c>
      <c r="B59" s="2" t="str">
        <f>Raw_Data!C59</f>
        <v>Management</v>
      </c>
      <c r="C59" s="2" t="str">
        <f>Raw_Data!D59</f>
        <v>Project Leader</v>
      </c>
      <c r="D59" s="2">
        <f>Raw_Data!F59</f>
        <v>104584</v>
      </c>
      <c r="E59" s="2" t="str">
        <f>Raw_Data!H59</f>
        <v>YEARLY</v>
      </c>
      <c r="F59" s="2">
        <f>Raw_Data!I59</f>
        <v>6</v>
      </c>
      <c r="G59" s="13">
        <f>D59*INDEX(Multiplier_Lookup!$C$6:$C$9,MATCH(E59,Multiplier_Lookup!$B$6:$B$9,0))</f>
        <v>104584</v>
      </c>
      <c r="H59" s="2" t="str">
        <f t="shared" si="0"/>
        <v>The Home Depot|Project Leader</v>
      </c>
    </row>
    <row r="60" spans="1:8" x14ac:dyDescent="0.35">
      <c r="A60" s="2" t="str">
        <f>Raw_Data!A60</f>
        <v>The Home Depot</v>
      </c>
      <c r="B60" s="2" t="str">
        <f>Raw_Data!C60</f>
        <v>Management</v>
      </c>
      <c r="C60" s="2" t="str">
        <f>Raw_Data!D60</f>
        <v>Call Center Supervisor</v>
      </c>
      <c r="D60" s="2">
        <f>Raw_Data!F60</f>
        <v>62197</v>
      </c>
      <c r="E60" s="2" t="str">
        <f>Raw_Data!H60</f>
        <v>YEARLY</v>
      </c>
      <c r="F60" s="2">
        <f>Raw_Data!I60</f>
        <v>5</v>
      </c>
      <c r="G60" s="13">
        <f>D60*INDEX(Multiplier_Lookup!$C$6:$C$9,MATCH(E60,Multiplier_Lookup!$B$6:$B$9,0))</f>
        <v>62197</v>
      </c>
      <c r="H60" s="2" t="str">
        <f t="shared" si="0"/>
        <v>The Home Depot|Call Center Supervisor</v>
      </c>
    </row>
    <row r="61" spans="1:8" x14ac:dyDescent="0.35">
      <c r="A61" s="2" t="str">
        <f>Raw_Data!A61</f>
        <v>The Home Depot</v>
      </c>
      <c r="B61" s="2" t="str">
        <f>Raw_Data!C61</f>
        <v>Management</v>
      </c>
      <c r="C61" s="2" t="str">
        <f>Raw_Data!D61</f>
        <v>Logistics Manager</v>
      </c>
      <c r="D61" s="2">
        <f>Raw_Data!F61</f>
        <v>108749</v>
      </c>
      <c r="E61" s="2" t="str">
        <f>Raw_Data!H61</f>
        <v>YEARLY</v>
      </c>
      <c r="F61" s="2">
        <f>Raw_Data!I61</f>
        <v>6</v>
      </c>
      <c r="G61" s="13">
        <f>D61*INDEX(Multiplier_Lookup!$C$6:$C$9,MATCH(E61,Multiplier_Lookup!$B$6:$B$9,0))</f>
        <v>108749</v>
      </c>
      <c r="H61" s="2" t="str">
        <f t="shared" si="0"/>
        <v>The Home Depot|Logistics Manager</v>
      </c>
    </row>
    <row r="62" spans="1:8" x14ac:dyDescent="0.35">
      <c r="A62" s="2" t="str">
        <f>Raw_Data!A62</f>
        <v>Walgreens</v>
      </c>
      <c r="B62" s="2" t="str">
        <f>Raw_Data!C62</f>
        <v>Loading and Stocking</v>
      </c>
      <c r="C62" s="2" t="str">
        <f>Raw_Data!D62</f>
        <v>Fulfillment Associate</v>
      </c>
      <c r="D62" s="2">
        <f>Raw_Data!F62</f>
        <v>18.260000000000002</v>
      </c>
      <c r="E62" s="2" t="str">
        <f>Raw_Data!H62</f>
        <v>HOURLY</v>
      </c>
      <c r="F62" s="2">
        <f>Raw_Data!I62</f>
        <v>77</v>
      </c>
      <c r="G62" s="13">
        <f>D62*INDEX(Multiplier_Lookup!$C$6:$C$9,MATCH(E62,Multiplier_Lookup!$B$6:$B$9,0))</f>
        <v>37980.800000000003</v>
      </c>
      <c r="H62" s="2" t="str">
        <f t="shared" si="0"/>
        <v>Walgreens|Fulfillment Associate</v>
      </c>
    </row>
    <row r="63" spans="1:8" x14ac:dyDescent="0.35">
      <c r="A63" s="2" t="str">
        <f>Raw_Data!A63</f>
        <v>Walgreens</v>
      </c>
      <c r="B63" s="2" t="str">
        <f>Raw_Data!C63</f>
        <v>Loading and Stocking</v>
      </c>
      <c r="C63" s="2" t="str">
        <f>Raw_Data!D63</f>
        <v>Warehouse Worker</v>
      </c>
      <c r="D63" s="2">
        <f>Raw_Data!F63</f>
        <v>15.54</v>
      </c>
      <c r="E63" s="2" t="str">
        <f>Raw_Data!H63</f>
        <v>HOURLY</v>
      </c>
      <c r="F63" s="2">
        <f>Raw_Data!I63</f>
        <v>22</v>
      </c>
      <c r="G63" s="13">
        <f>D63*INDEX(Multiplier_Lookup!$C$6:$C$9,MATCH(E63,Multiplier_Lookup!$B$6:$B$9,0))</f>
        <v>32323.199999999997</v>
      </c>
      <c r="H63" s="2" t="str">
        <f t="shared" si="0"/>
        <v>Walgreens|Warehouse Worker</v>
      </c>
    </row>
    <row r="64" spans="1:8" x14ac:dyDescent="0.35">
      <c r="A64" s="2" t="str">
        <f>Raw_Data!A64</f>
        <v>Walgreens</v>
      </c>
      <c r="B64" s="2" t="str">
        <f>Raw_Data!C64</f>
        <v>Loading and Stocking</v>
      </c>
      <c r="C64" s="2" t="str">
        <f>Raw_Data!D64</f>
        <v>Packer</v>
      </c>
      <c r="D64" s="2">
        <f>Raw_Data!F64</f>
        <v>15.67</v>
      </c>
      <c r="E64" s="2" t="str">
        <f>Raw_Data!H64</f>
        <v>HOURLY</v>
      </c>
      <c r="F64" s="2">
        <f>Raw_Data!I64</f>
        <v>24</v>
      </c>
      <c r="G64" s="13">
        <f>D64*INDEX(Multiplier_Lookup!$C$6:$C$9,MATCH(E64,Multiplier_Lookup!$B$6:$B$9,0))</f>
        <v>32593.599999999999</v>
      </c>
      <c r="H64" s="2" t="str">
        <f t="shared" si="0"/>
        <v>Walgreens|Packer</v>
      </c>
    </row>
    <row r="65" spans="1:8" x14ac:dyDescent="0.35">
      <c r="A65" s="2" t="str">
        <f>Raw_Data!A65</f>
        <v>Walgreens</v>
      </c>
      <c r="B65" s="2" t="str">
        <f>Raw_Data!C65</f>
        <v>Loading and Stocking</v>
      </c>
      <c r="C65" s="2" t="str">
        <f>Raw_Data!D65</f>
        <v>Warehouse Associate</v>
      </c>
      <c r="D65" s="2">
        <f>Raw_Data!F65</f>
        <v>16.100000000000001</v>
      </c>
      <c r="E65" s="2" t="str">
        <f>Raw_Data!H65</f>
        <v>HOURLY</v>
      </c>
      <c r="F65" s="2">
        <f>Raw_Data!I65</f>
        <v>27</v>
      </c>
      <c r="G65" s="13">
        <f>D65*INDEX(Multiplier_Lookup!$C$6:$C$9,MATCH(E65,Multiplier_Lookup!$B$6:$B$9,0))</f>
        <v>33488</v>
      </c>
      <c r="H65" s="2" t="str">
        <f t="shared" si="0"/>
        <v>Walgreens|Warehouse Associate</v>
      </c>
    </row>
    <row r="66" spans="1:8" x14ac:dyDescent="0.35">
      <c r="A66" s="2" t="str">
        <f>Raw_Data!A66</f>
        <v>Walgreens</v>
      </c>
      <c r="B66" s="2" t="str">
        <f>Raw_Data!C66</f>
        <v>Loading and Stocking</v>
      </c>
      <c r="C66" s="2" t="str">
        <f>Raw_Data!D66</f>
        <v>Order Filler</v>
      </c>
      <c r="D66" s="2">
        <f>Raw_Data!F66</f>
        <v>16.309999999999999</v>
      </c>
      <c r="E66" s="2" t="str">
        <f>Raw_Data!H66</f>
        <v>HOURLY</v>
      </c>
      <c r="F66" s="2">
        <f>Raw_Data!I66</f>
        <v>27</v>
      </c>
      <c r="G66" s="13">
        <f>D66*INDEX(Multiplier_Lookup!$C$6:$C$9,MATCH(E66,Multiplier_Lookup!$B$6:$B$9,0))</f>
        <v>33924.799999999996</v>
      </c>
      <c r="H66" s="2" t="str">
        <f t="shared" ref="H66:H129" si="1">A66&amp;"|"&amp;C66</f>
        <v>Walgreens|Order Filler</v>
      </c>
    </row>
    <row r="67" spans="1:8" x14ac:dyDescent="0.35">
      <c r="A67" s="2" t="str">
        <f>Raw_Data!A67</f>
        <v>Walgreens</v>
      </c>
      <c r="B67" s="2" t="str">
        <f>Raw_Data!C67</f>
        <v>Loading and Stocking</v>
      </c>
      <c r="C67" s="2" t="str">
        <f>Raw_Data!D67</f>
        <v>Package Handler</v>
      </c>
      <c r="D67" s="2">
        <f>Raw_Data!F67</f>
        <v>15.49</v>
      </c>
      <c r="E67" s="2" t="str">
        <f>Raw_Data!H67</f>
        <v>HOURLY</v>
      </c>
      <c r="F67" s="2">
        <f>Raw_Data!I67</f>
        <v>11</v>
      </c>
      <c r="G67" s="13">
        <f>D67*INDEX(Multiplier_Lookup!$C$6:$C$9,MATCH(E67,Multiplier_Lookup!$B$6:$B$9,0))</f>
        <v>32219.200000000001</v>
      </c>
      <c r="H67" s="2" t="str">
        <f t="shared" si="1"/>
        <v>Walgreens|Package Handler</v>
      </c>
    </row>
    <row r="68" spans="1:8" x14ac:dyDescent="0.35">
      <c r="A68" s="2" t="str">
        <f>Raw_Data!A68</f>
        <v>Walgreens</v>
      </c>
      <c r="B68" s="2" t="str">
        <f>Raw_Data!C68</f>
        <v>Loading and Stocking</v>
      </c>
      <c r="C68" s="2" t="str">
        <f>Raw_Data!D68</f>
        <v>Warehouse Specialist</v>
      </c>
      <c r="D68" s="2">
        <f>Raw_Data!F68</f>
        <v>15.9</v>
      </c>
      <c r="E68" s="2" t="str">
        <f>Raw_Data!H68</f>
        <v>HOURLY</v>
      </c>
      <c r="F68" s="2">
        <f>Raw_Data!I68</f>
        <v>9</v>
      </c>
      <c r="G68" s="13">
        <f>D68*INDEX(Multiplier_Lookup!$C$6:$C$9,MATCH(E68,Multiplier_Lookup!$B$6:$B$9,0))</f>
        <v>33072</v>
      </c>
      <c r="H68" s="2" t="str">
        <f t="shared" si="1"/>
        <v>Walgreens|Warehouse Specialist</v>
      </c>
    </row>
    <row r="69" spans="1:8" x14ac:dyDescent="0.35">
      <c r="A69" s="2" t="str">
        <f>Raw_Data!A69</f>
        <v>Walgreens</v>
      </c>
      <c r="B69" s="2" t="str">
        <f>Raw_Data!C69</f>
        <v>Loading and Stocking</v>
      </c>
      <c r="C69" s="2" t="str">
        <f>Raw_Data!D69</f>
        <v>Distribution Center Supervisor</v>
      </c>
      <c r="D69" s="2">
        <f>Raw_Data!F69</f>
        <v>74900</v>
      </c>
      <c r="E69" s="2" t="str">
        <f>Raw_Data!H69</f>
        <v>YEARLY</v>
      </c>
      <c r="F69" s="2">
        <f>Raw_Data!I69</f>
        <v>6</v>
      </c>
      <c r="G69" s="13">
        <f>D69*INDEX(Multiplier_Lookup!$C$6:$C$9,MATCH(E69,Multiplier_Lookup!$B$6:$B$9,0))</f>
        <v>74900</v>
      </c>
      <c r="H69" s="2" t="str">
        <f t="shared" si="1"/>
        <v>Walgreens|Distribution Center Supervisor</v>
      </c>
    </row>
    <row r="70" spans="1:8" x14ac:dyDescent="0.35">
      <c r="A70" s="2" t="str">
        <f>Raw_Data!A70</f>
        <v>Walgreens</v>
      </c>
      <c r="B70" s="2" t="str">
        <f>Raw_Data!C70</f>
        <v>Loading and Stocking</v>
      </c>
      <c r="C70" s="2" t="str">
        <f>Raw_Data!D70</f>
        <v>Distribution Associate</v>
      </c>
      <c r="D70" s="2">
        <f>Raw_Data!F70</f>
        <v>15.45</v>
      </c>
      <c r="E70" s="2" t="str">
        <f>Raw_Data!H70</f>
        <v>HOURLY</v>
      </c>
      <c r="F70" s="2">
        <f>Raw_Data!I70</f>
        <v>12</v>
      </c>
      <c r="G70" s="13">
        <f>D70*INDEX(Multiplier_Lookup!$C$6:$C$9,MATCH(E70,Multiplier_Lookup!$B$6:$B$9,0))</f>
        <v>32136</v>
      </c>
      <c r="H70" s="2" t="str">
        <f t="shared" si="1"/>
        <v>Walgreens|Distribution Associate</v>
      </c>
    </row>
    <row r="71" spans="1:8" x14ac:dyDescent="0.35">
      <c r="A71" s="2" t="str">
        <f>Raw_Data!A71</f>
        <v>Walgreens</v>
      </c>
      <c r="B71" s="2" t="str">
        <f>Raw_Data!C71</f>
        <v>Loading and Stocking</v>
      </c>
      <c r="C71" s="2" t="str">
        <f>Raw_Data!D71</f>
        <v>Warehouse Lead</v>
      </c>
      <c r="D71" s="2">
        <f>Raw_Data!F71</f>
        <v>23.39</v>
      </c>
      <c r="E71" s="2" t="str">
        <f>Raw_Data!H71</f>
        <v>HOURLY</v>
      </c>
      <c r="F71" s="2">
        <f>Raw_Data!I71</f>
        <v>19</v>
      </c>
      <c r="G71" s="13">
        <f>D71*INDEX(Multiplier_Lookup!$C$6:$C$9,MATCH(E71,Multiplier_Lookup!$B$6:$B$9,0))</f>
        <v>48651.200000000004</v>
      </c>
      <c r="H71" s="2" t="str">
        <f t="shared" si="1"/>
        <v>Walgreens|Warehouse Lead</v>
      </c>
    </row>
    <row r="72" spans="1:8" x14ac:dyDescent="0.35">
      <c r="A72" s="2" t="str">
        <f>Raw_Data!A72</f>
        <v>CVS Health</v>
      </c>
      <c r="B72" s="2" t="str">
        <f>Raw_Data!C72</f>
        <v>Retail</v>
      </c>
      <c r="C72" s="2" t="str">
        <f>Raw_Data!D72</f>
        <v>Retail Sales Associate</v>
      </c>
      <c r="D72" s="2">
        <f>Raw_Data!F72</f>
        <v>16.190000000000001</v>
      </c>
      <c r="E72" s="2" t="str">
        <f>Raw_Data!H72</f>
        <v>HOURLY</v>
      </c>
      <c r="F72" s="2">
        <f>Raw_Data!I72</f>
        <v>339</v>
      </c>
      <c r="G72" s="13">
        <f>D72*INDEX(Multiplier_Lookup!$C$6:$C$9,MATCH(E72,Multiplier_Lookup!$B$6:$B$9,0))</f>
        <v>33675.200000000004</v>
      </c>
      <c r="H72" s="2" t="str">
        <f t="shared" si="1"/>
        <v>CVS Health|Retail Sales Associate</v>
      </c>
    </row>
    <row r="73" spans="1:8" x14ac:dyDescent="0.35">
      <c r="A73" s="2" t="str">
        <f>Raw_Data!A73</f>
        <v>CVS Health</v>
      </c>
      <c r="B73" s="2" t="str">
        <f>Raw_Data!C73</f>
        <v>Retail</v>
      </c>
      <c r="C73" s="2" t="str">
        <f>Raw_Data!D73</f>
        <v>Store Manager</v>
      </c>
      <c r="D73" s="2">
        <f>Raw_Data!F73</f>
        <v>23.31</v>
      </c>
      <c r="E73" s="2" t="str">
        <f>Raw_Data!H73</f>
        <v>HOURLY</v>
      </c>
      <c r="F73" s="2">
        <f>Raw_Data!I73</f>
        <v>199</v>
      </c>
      <c r="G73" s="13">
        <f>D73*INDEX(Multiplier_Lookup!$C$6:$C$9,MATCH(E73,Multiplier_Lookup!$B$6:$B$9,0))</f>
        <v>48484.799999999996</v>
      </c>
      <c r="H73" s="2" t="str">
        <f t="shared" si="1"/>
        <v>CVS Health|Store Manager</v>
      </c>
    </row>
    <row r="74" spans="1:8" x14ac:dyDescent="0.35">
      <c r="A74" s="2" t="str">
        <f>Raw_Data!A74</f>
        <v>CVS Health</v>
      </c>
      <c r="B74" s="2" t="str">
        <f>Raw_Data!C74</f>
        <v>Retail</v>
      </c>
      <c r="C74" s="2" t="str">
        <f>Raw_Data!D74</f>
        <v>Retail Store Manager</v>
      </c>
      <c r="D74" s="2">
        <f>Raw_Data!F74</f>
        <v>23.17</v>
      </c>
      <c r="E74" s="2" t="str">
        <f>Raw_Data!H74</f>
        <v>HOURLY</v>
      </c>
      <c r="F74" s="2">
        <f>Raw_Data!I74</f>
        <v>123</v>
      </c>
      <c r="G74" s="13">
        <f>D74*INDEX(Multiplier_Lookup!$C$6:$C$9,MATCH(E74,Multiplier_Lookup!$B$6:$B$9,0))</f>
        <v>48193.600000000006</v>
      </c>
      <c r="H74" s="2" t="str">
        <f t="shared" si="1"/>
        <v>CVS Health|Retail Store Manager</v>
      </c>
    </row>
    <row r="75" spans="1:8" x14ac:dyDescent="0.35">
      <c r="A75" s="2" t="str">
        <f>Raw_Data!A75</f>
        <v>CVS Health</v>
      </c>
      <c r="B75" s="2" t="str">
        <f>Raw_Data!C75</f>
        <v>Retail</v>
      </c>
      <c r="C75" s="2" t="str">
        <f>Raw_Data!D75</f>
        <v>Beauty Sales Consultant</v>
      </c>
      <c r="D75" s="2">
        <f>Raw_Data!F75</f>
        <v>21.12</v>
      </c>
      <c r="E75" s="2" t="str">
        <f>Raw_Data!H75</f>
        <v>HOURLY</v>
      </c>
      <c r="F75" s="2">
        <f>Raw_Data!I75</f>
        <v>228</v>
      </c>
      <c r="G75" s="13">
        <f>D75*INDEX(Multiplier_Lookup!$C$6:$C$9,MATCH(E75,Multiplier_Lookup!$B$6:$B$9,0))</f>
        <v>43929.599999999999</v>
      </c>
      <c r="H75" s="2" t="str">
        <f t="shared" si="1"/>
        <v>CVS Health|Beauty Sales Consultant</v>
      </c>
    </row>
    <row r="76" spans="1:8" x14ac:dyDescent="0.35">
      <c r="A76" s="2" t="str">
        <f>Raw_Data!A76</f>
        <v>CVS Health</v>
      </c>
      <c r="B76" s="2" t="str">
        <f>Raw_Data!C76</f>
        <v>Retail</v>
      </c>
      <c r="C76" s="2" t="str">
        <f>Raw_Data!D76</f>
        <v>Cashier</v>
      </c>
      <c r="D76" s="2">
        <f>Raw_Data!F76</f>
        <v>17.86</v>
      </c>
      <c r="E76" s="2" t="str">
        <f>Raw_Data!H76</f>
        <v>HOURLY</v>
      </c>
      <c r="F76" s="2">
        <f>Raw_Data!I76</f>
        <v>60</v>
      </c>
      <c r="G76" s="13">
        <f>D76*INDEX(Multiplier_Lookup!$C$6:$C$9,MATCH(E76,Multiplier_Lookup!$B$6:$B$9,0))</f>
        <v>37148.799999999996</v>
      </c>
      <c r="H76" s="2" t="str">
        <f t="shared" si="1"/>
        <v>CVS Health|Cashier</v>
      </c>
    </row>
    <row r="77" spans="1:8" x14ac:dyDescent="0.35">
      <c r="A77" s="2" t="str">
        <f>Raw_Data!A77</f>
        <v>CVS Health</v>
      </c>
      <c r="B77" s="2" t="str">
        <f>Raw_Data!C77</f>
        <v>Retail</v>
      </c>
      <c r="C77" s="2" t="str">
        <f>Raw_Data!D77</f>
        <v>Beauty Consultant</v>
      </c>
      <c r="D77" s="2">
        <f>Raw_Data!F77</f>
        <v>20.93</v>
      </c>
      <c r="E77" s="2" t="str">
        <f>Raw_Data!H77</f>
        <v>HOURLY</v>
      </c>
      <c r="F77" s="2">
        <f>Raw_Data!I77</f>
        <v>105</v>
      </c>
      <c r="G77" s="13">
        <f>D77*INDEX(Multiplier_Lookup!$C$6:$C$9,MATCH(E77,Multiplier_Lookup!$B$6:$B$9,0))</f>
        <v>43534.400000000001</v>
      </c>
      <c r="H77" s="2" t="str">
        <f t="shared" si="1"/>
        <v>CVS Health|Beauty Consultant</v>
      </c>
    </row>
    <row r="78" spans="1:8" x14ac:dyDescent="0.35">
      <c r="A78" s="2" t="str">
        <f>Raw_Data!A78</f>
        <v>CVS Health</v>
      </c>
      <c r="B78" s="2" t="str">
        <f>Raw_Data!C78</f>
        <v>Retail</v>
      </c>
      <c r="C78" s="2" t="str">
        <f>Raw_Data!D78</f>
        <v>Cashier/Sales</v>
      </c>
      <c r="D78" s="2">
        <f>Raw_Data!F78</f>
        <v>14.67</v>
      </c>
      <c r="E78" s="2" t="str">
        <f>Raw_Data!H78</f>
        <v>HOURLY</v>
      </c>
      <c r="F78" s="2">
        <f>Raw_Data!I78</f>
        <v>13</v>
      </c>
      <c r="G78" s="13">
        <f>D78*INDEX(Multiplier_Lookup!$C$6:$C$9,MATCH(E78,Multiplier_Lookup!$B$6:$B$9,0))</f>
        <v>30513.599999999999</v>
      </c>
      <c r="H78" s="2" t="str">
        <f t="shared" si="1"/>
        <v>CVS Health|Cashier/Sales</v>
      </c>
    </row>
    <row r="79" spans="1:8" x14ac:dyDescent="0.35">
      <c r="A79" s="2" t="str">
        <f>Raw_Data!A79</f>
        <v>CVS Health</v>
      </c>
      <c r="B79" s="2" t="str">
        <f>Raw_Data!C79</f>
        <v>Retail</v>
      </c>
      <c r="C79" s="2" t="str">
        <f>Raw_Data!D79</f>
        <v>Beauty Advisor</v>
      </c>
      <c r="D79" s="2">
        <f>Raw_Data!F79</f>
        <v>17.52</v>
      </c>
      <c r="E79" s="2" t="str">
        <f>Raw_Data!H79</f>
        <v>HOURLY</v>
      </c>
      <c r="F79" s="2">
        <f>Raw_Data!I79</f>
        <v>58</v>
      </c>
      <c r="G79" s="13">
        <f>D79*INDEX(Multiplier_Lookup!$C$6:$C$9,MATCH(E79,Multiplier_Lookup!$B$6:$B$9,0))</f>
        <v>36441.599999999999</v>
      </c>
      <c r="H79" s="2" t="str">
        <f t="shared" si="1"/>
        <v>CVS Health|Beauty Advisor</v>
      </c>
    </row>
    <row r="80" spans="1:8" x14ac:dyDescent="0.35">
      <c r="A80" s="2" t="str">
        <f>Raw_Data!A80</f>
        <v>CVS Health</v>
      </c>
      <c r="B80" s="2" t="str">
        <f>Raw_Data!C80</f>
        <v>Retail</v>
      </c>
      <c r="C80" s="2" t="str">
        <f>Raw_Data!D80</f>
        <v>Customer Service Associate / Cashier</v>
      </c>
      <c r="D80" s="2">
        <f>Raw_Data!F80</f>
        <v>14.85</v>
      </c>
      <c r="E80" s="2" t="str">
        <f>Raw_Data!H80</f>
        <v>HOURLY</v>
      </c>
      <c r="F80" s="2">
        <f>Raw_Data!I80</f>
        <v>18</v>
      </c>
      <c r="G80" s="13">
        <f>D80*INDEX(Multiplier_Lookup!$C$6:$C$9,MATCH(E80,Multiplier_Lookup!$B$6:$B$9,0))</f>
        <v>30888</v>
      </c>
      <c r="H80" s="2" t="str">
        <f t="shared" si="1"/>
        <v>CVS Health|Customer Service Associate / Cashier</v>
      </c>
    </row>
    <row r="81" spans="1:8" x14ac:dyDescent="0.35">
      <c r="A81" s="2" t="str">
        <f>Raw_Data!A81</f>
        <v>CVS Health</v>
      </c>
      <c r="B81" s="2" t="str">
        <f>Raw_Data!C81</f>
        <v>Retail</v>
      </c>
      <c r="C81" s="2" t="str">
        <f>Raw_Data!D81</f>
        <v>Overnight Associate</v>
      </c>
      <c r="D81" s="2">
        <f>Raw_Data!F81</f>
        <v>15.89</v>
      </c>
      <c r="E81" s="2" t="str">
        <f>Raw_Data!H81</f>
        <v>HOURLY</v>
      </c>
      <c r="F81" s="2">
        <f>Raw_Data!I81</f>
        <v>6</v>
      </c>
      <c r="G81" s="13">
        <f>D81*INDEX(Multiplier_Lookup!$C$6:$C$9,MATCH(E81,Multiplier_Lookup!$B$6:$B$9,0))</f>
        <v>33051.200000000004</v>
      </c>
      <c r="H81" s="2" t="str">
        <f t="shared" si="1"/>
        <v>CVS Health|Overnight Associate</v>
      </c>
    </row>
    <row r="82" spans="1:8" x14ac:dyDescent="0.35">
      <c r="A82" s="2" t="str">
        <f>Raw_Data!A82</f>
        <v>FedEx</v>
      </c>
      <c r="B82" s="2" t="str">
        <f>Raw_Data!C82</f>
        <v>Installation &amp; Maintenance</v>
      </c>
      <c r="C82" s="2" t="str">
        <f>Raw_Data!D82</f>
        <v>Senior Vehicle Technician</v>
      </c>
      <c r="D82" s="2">
        <f>Raw_Data!F82</f>
        <v>37.65</v>
      </c>
      <c r="E82" s="2" t="str">
        <f>Raw_Data!H82</f>
        <v>HOURLY</v>
      </c>
      <c r="F82" s="2">
        <f>Raw_Data!I82</f>
        <v>110</v>
      </c>
      <c r="G82" s="13">
        <f>D82*INDEX(Multiplier_Lookup!$C$6:$C$9,MATCH(E82,Multiplier_Lookup!$B$6:$B$9,0))</f>
        <v>78312</v>
      </c>
      <c r="H82" s="2" t="str">
        <f t="shared" si="1"/>
        <v>FedEx|Senior Vehicle Technician</v>
      </c>
    </row>
    <row r="83" spans="1:8" x14ac:dyDescent="0.35">
      <c r="A83" s="2" t="str">
        <f>Raw_Data!A83</f>
        <v>FedEx</v>
      </c>
      <c r="B83" s="2" t="str">
        <f>Raw_Data!C83</f>
        <v>Installation &amp; Maintenance</v>
      </c>
      <c r="C83" s="2" t="str">
        <f>Raw_Data!D83</f>
        <v>Maintenance Technician</v>
      </c>
      <c r="D83" s="2">
        <f>Raw_Data!F83</f>
        <v>29.05</v>
      </c>
      <c r="E83" s="2" t="str">
        <f>Raw_Data!H83</f>
        <v>HOURLY</v>
      </c>
      <c r="F83" s="2">
        <f>Raw_Data!I83</f>
        <v>48</v>
      </c>
      <c r="G83" s="13">
        <f>D83*INDEX(Multiplier_Lookup!$C$6:$C$9,MATCH(E83,Multiplier_Lookup!$B$6:$B$9,0))</f>
        <v>60424</v>
      </c>
      <c r="H83" s="2" t="str">
        <f t="shared" si="1"/>
        <v>FedEx|Maintenance Technician</v>
      </c>
    </row>
    <row r="84" spans="1:8" x14ac:dyDescent="0.35">
      <c r="A84" s="2" t="str">
        <f>Raw_Data!A84</f>
        <v>FedEx</v>
      </c>
      <c r="B84" s="2" t="str">
        <f>Raw_Data!C84</f>
        <v>Installation &amp; Maintenance</v>
      </c>
      <c r="C84" s="2" t="str">
        <f>Raw_Data!D84</f>
        <v>Diesel Mechanic</v>
      </c>
      <c r="D84" s="2">
        <f>Raw_Data!F84</f>
        <v>35.729999999999997</v>
      </c>
      <c r="E84" s="2" t="str">
        <f>Raw_Data!H84</f>
        <v>HOURLY</v>
      </c>
      <c r="F84" s="2">
        <f>Raw_Data!I84</f>
        <v>19</v>
      </c>
      <c r="G84" s="13">
        <f>D84*INDEX(Multiplier_Lookup!$C$6:$C$9,MATCH(E84,Multiplier_Lookup!$B$6:$B$9,0))</f>
        <v>74318.399999999994</v>
      </c>
      <c r="H84" s="2" t="str">
        <f t="shared" si="1"/>
        <v>FedEx|Diesel Mechanic</v>
      </c>
    </row>
    <row r="85" spans="1:8" x14ac:dyDescent="0.35">
      <c r="A85" s="2" t="str">
        <f>Raw_Data!A85</f>
        <v>FedEx</v>
      </c>
      <c r="B85" s="2" t="str">
        <f>Raw_Data!C85</f>
        <v>Installation &amp; Maintenance</v>
      </c>
      <c r="C85" s="2" t="str">
        <f>Raw_Data!D85</f>
        <v>Senior Maintenance Person</v>
      </c>
      <c r="D85" s="2">
        <f>Raw_Data!F85</f>
        <v>30.11</v>
      </c>
      <c r="E85" s="2" t="str">
        <f>Raw_Data!H85</f>
        <v>HOURLY</v>
      </c>
      <c r="F85" s="2">
        <f>Raw_Data!I85</f>
        <v>72</v>
      </c>
      <c r="G85" s="13">
        <f>D85*INDEX(Multiplier_Lookup!$C$6:$C$9,MATCH(E85,Multiplier_Lookup!$B$6:$B$9,0))</f>
        <v>62628.799999999996</v>
      </c>
      <c r="H85" s="2" t="str">
        <f t="shared" si="1"/>
        <v>FedEx|Senior Maintenance Person</v>
      </c>
    </row>
    <row r="86" spans="1:8" x14ac:dyDescent="0.35">
      <c r="A86" s="2" t="str">
        <f>Raw_Data!A86</f>
        <v>FedEx</v>
      </c>
      <c r="B86" s="2" t="str">
        <f>Raw_Data!C86</f>
        <v>Installation &amp; Maintenance</v>
      </c>
      <c r="C86" s="2" t="str">
        <f>Raw_Data!D86</f>
        <v>Technician</v>
      </c>
      <c r="D86" s="2">
        <f>Raw_Data!F86</f>
        <v>36.630000000000003</v>
      </c>
      <c r="E86" s="2" t="str">
        <f>Raw_Data!H86</f>
        <v>HOURLY</v>
      </c>
      <c r="F86" s="2">
        <f>Raw_Data!I86</f>
        <v>10</v>
      </c>
      <c r="G86" s="13">
        <f>D86*INDEX(Multiplier_Lookup!$C$6:$C$9,MATCH(E86,Multiplier_Lookup!$B$6:$B$9,0))</f>
        <v>76190.400000000009</v>
      </c>
      <c r="H86" s="2" t="str">
        <f t="shared" si="1"/>
        <v>FedEx|Technician</v>
      </c>
    </row>
    <row r="87" spans="1:8" x14ac:dyDescent="0.35">
      <c r="A87" s="2" t="str">
        <f>Raw_Data!A87</f>
        <v>FedEx</v>
      </c>
      <c r="B87" s="2" t="str">
        <f>Raw_Data!C87</f>
        <v>Installation &amp; Maintenance</v>
      </c>
      <c r="C87" s="2" t="str">
        <f>Raw_Data!D87</f>
        <v>Automotive Mechanic</v>
      </c>
      <c r="D87" s="2">
        <f>Raw_Data!F87</f>
        <v>36.18</v>
      </c>
      <c r="E87" s="2" t="str">
        <f>Raw_Data!H87</f>
        <v>HOURLY</v>
      </c>
      <c r="F87" s="2">
        <f>Raw_Data!I87</f>
        <v>7</v>
      </c>
      <c r="G87" s="13">
        <f>D87*INDEX(Multiplier_Lookup!$C$6:$C$9,MATCH(E87,Multiplier_Lookup!$B$6:$B$9,0))</f>
        <v>75254.399999999994</v>
      </c>
      <c r="H87" s="2" t="str">
        <f t="shared" si="1"/>
        <v>FedEx|Automotive Mechanic</v>
      </c>
    </row>
    <row r="88" spans="1:8" x14ac:dyDescent="0.35">
      <c r="A88" s="2" t="str">
        <f>Raw_Data!A88</f>
        <v>FedEx</v>
      </c>
      <c r="B88" s="2" t="str">
        <f>Raw_Data!C88</f>
        <v>Installation &amp; Maintenance</v>
      </c>
      <c r="C88" s="2" t="str">
        <f>Raw_Data!D88</f>
        <v>Vehicle Technician</v>
      </c>
      <c r="D88" s="2">
        <f>Raw_Data!F88</f>
        <v>37.200000000000003</v>
      </c>
      <c r="E88" s="2" t="str">
        <f>Raw_Data!H88</f>
        <v>HOURLY</v>
      </c>
      <c r="F88" s="2">
        <f>Raw_Data!I88</f>
        <v>7</v>
      </c>
      <c r="G88" s="13">
        <f>D88*INDEX(Multiplier_Lookup!$C$6:$C$9,MATCH(E88,Multiplier_Lookup!$B$6:$B$9,0))</f>
        <v>77376</v>
      </c>
      <c r="H88" s="2" t="str">
        <f t="shared" si="1"/>
        <v>FedEx|Vehicle Technician</v>
      </c>
    </row>
    <row r="89" spans="1:8" x14ac:dyDescent="0.35">
      <c r="A89" s="2" t="str">
        <f>Raw_Data!A89</f>
        <v>FedEx</v>
      </c>
      <c r="B89" s="2" t="str">
        <f>Raw_Data!C89</f>
        <v>Installation &amp; Maintenance</v>
      </c>
      <c r="C89" s="2" t="str">
        <f>Raw_Data!D89</f>
        <v>Senior Maintenance Technician</v>
      </c>
      <c r="D89" s="2">
        <f>Raw_Data!F89</f>
        <v>30.2</v>
      </c>
      <c r="E89" s="2" t="str">
        <f>Raw_Data!H89</f>
        <v>HOURLY</v>
      </c>
      <c r="F89" s="2">
        <f>Raw_Data!I89</f>
        <v>14</v>
      </c>
      <c r="G89" s="13">
        <f>D89*INDEX(Multiplier_Lookup!$C$6:$C$9,MATCH(E89,Multiplier_Lookup!$B$6:$B$9,0))</f>
        <v>62816</v>
      </c>
      <c r="H89" s="2" t="str">
        <f t="shared" si="1"/>
        <v>FedEx|Senior Maintenance Technician</v>
      </c>
    </row>
    <row r="90" spans="1:8" x14ac:dyDescent="0.35">
      <c r="A90" s="2" t="str">
        <f>Raw_Data!A90</f>
        <v>FedEx</v>
      </c>
      <c r="B90" s="2" t="str">
        <f>Raw_Data!C90</f>
        <v>Installation &amp; Maintenance</v>
      </c>
      <c r="C90" s="2" t="str">
        <f>Raw_Data!D90</f>
        <v>Maintenance Tech II</v>
      </c>
      <c r="D90" s="2">
        <f>Raw_Data!F90</f>
        <v>27.74</v>
      </c>
      <c r="E90" s="2" t="str">
        <f>Raw_Data!H90</f>
        <v>HOURLY</v>
      </c>
      <c r="F90" s="2">
        <f>Raw_Data!I90</f>
        <v>16</v>
      </c>
      <c r="G90" s="13">
        <f>D90*INDEX(Multiplier_Lookup!$C$6:$C$9,MATCH(E90,Multiplier_Lookup!$B$6:$B$9,0))</f>
        <v>57699.199999999997</v>
      </c>
      <c r="H90" s="2" t="str">
        <f t="shared" si="1"/>
        <v>FedEx|Maintenance Tech II</v>
      </c>
    </row>
    <row r="91" spans="1:8" x14ac:dyDescent="0.35">
      <c r="A91" s="2" t="str">
        <f>Raw_Data!A91</f>
        <v>FedEx</v>
      </c>
      <c r="B91" s="2" t="str">
        <f>Raw_Data!C91</f>
        <v>Installation &amp; Maintenance</v>
      </c>
      <c r="C91" s="2" t="str">
        <f>Raw_Data!D91</f>
        <v>Maintenance Tech III</v>
      </c>
      <c r="D91" s="2">
        <f>Raw_Data!F91</f>
        <v>29</v>
      </c>
      <c r="E91" s="2" t="str">
        <f>Raw_Data!H91</f>
        <v>HOURLY</v>
      </c>
      <c r="F91" s="2">
        <f>Raw_Data!I91</f>
        <v>14</v>
      </c>
      <c r="G91" s="13">
        <f>D91*INDEX(Multiplier_Lookup!$C$6:$C$9,MATCH(E91,Multiplier_Lookup!$B$6:$B$9,0))</f>
        <v>60320</v>
      </c>
      <c r="H91" s="2" t="str">
        <f t="shared" si="1"/>
        <v>FedEx|Maintenance Tech III</v>
      </c>
    </row>
    <row r="92" spans="1:8" x14ac:dyDescent="0.35">
      <c r="A92" s="2" t="str">
        <f>Raw_Data!A92</f>
        <v>Google</v>
      </c>
      <c r="B92" s="2" t="str">
        <f>Raw_Data!C92</f>
        <v>Sales</v>
      </c>
      <c r="C92" s="2" t="str">
        <f>Raw_Data!D92</f>
        <v>Account Manager</v>
      </c>
      <c r="D92" s="2">
        <f>Raw_Data!F92</f>
        <v>121230</v>
      </c>
      <c r="E92" s="2" t="str">
        <f>Raw_Data!H92</f>
        <v>YEARLY</v>
      </c>
      <c r="F92" s="2">
        <f>Raw_Data!I92</f>
        <v>9</v>
      </c>
      <c r="G92" s="13">
        <f>D92*INDEX(Multiplier_Lookup!$C$6:$C$9,MATCH(E92,Multiplier_Lookup!$B$6:$B$9,0))</f>
        <v>121230</v>
      </c>
      <c r="H92" s="2" t="str">
        <f t="shared" si="1"/>
        <v>Google|Account Manager</v>
      </c>
    </row>
    <row r="93" spans="1:8" x14ac:dyDescent="0.35">
      <c r="A93" s="2" t="str">
        <f>Raw_Data!A93</f>
        <v>Google</v>
      </c>
      <c r="B93" s="2" t="str">
        <f>Raw_Data!C93</f>
        <v>Sales</v>
      </c>
      <c r="C93" s="2" t="str">
        <f>Raw_Data!D93</f>
        <v>Account Strategist</v>
      </c>
      <c r="D93" s="2">
        <f>Raw_Data!F93</f>
        <v>98101</v>
      </c>
      <c r="E93" s="2" t="str">
        <f>Raw_Data!H93</f>
        <v>YEARLY</v>
      </c>
      <c r="F93" s="2">
        <f>Raw_Data!I93</f>
        <v>10</v>
      </c>
      <c r="G93" s="13">
        <f>D93*INDEX(Multiplier_Lookup!$C$6:$C$9,MATCH(E93,Multiplier_Lookup!$B$6:$B$9,0))</f>
        <v>98101</v>
      </c>
      <c r="H93" s="2" t="str">
        <f t="shared" si="1"/>
        <v>Google|Account Strategist</v>
      </c>
    </row>
    <row r="94" spans="1:8" x14ac:dyDescent="0.35">
      <c r="A94" s="2" t="str">
        <f>Raw_Data!A94</f>
        <v>Google</v>
      </c>
      <c r="B94" s="2" t="str">
        <f>Raw_Data!C94</f>
        <v>Sales</v>
      </c>
      <c r="C94" s="2" t="str">
        <f>Raw_Data!D94</f>
        <v>Account Executive</v>
      </c>
      <c r="D94" s="2">
        <f>Raw_Data!F94</f>
        <v>199325</v>
      </c>
      <c r="E94" s="2" t="str">
        <f>Raw_Data!H94</f>
        <v>YEARLY</v>
      </c>
      <c r="F94" s="2">
        <f>Raw_Data!I94</f>
        <v>6</v>
      </c>
      <c r="G94" s="13">
        <f>D94*INDEX(Multiplier_Lookup!$C$6:$C$9,MATCH(E94,Multiplier_Lookup!$B$6:$B$9,0))</f>
        <v>199325</v>
      </c>
      <c r="H94" s="2" t="str">
        <f t="shared" si="1"/>
        <v>Google|Account Executive</v>
      </c>
    </row>
    <row r="95" spans="1:8" x14ac:dyDescent="0.35">
      <c r="A95" s="2" t="str">
        <f>Raw_Data!A95</f>
        <v>Google</v>
      </c>
      <c r="B95" s="2" t="str">
        <f>Raw_Data!C95</f>
        <v>Sales</v>
      </c>
      <c r="C95" s="2" t="str">
        <f>Raw_Data!D95</f>
        <v>Sales Associate</v>
      </c>
      <c r="D95" s="2">
        <f>Raw_Data!F95</f>
        <v>85042</v>
      </c>
      <c r="E95" s="2" t="str">
        <f>Raw_Data!H95</f>
        <v>YEARLY</v>
      </c>
      <c r="F95" s="2">
        <f>Raw_Data!I95</f>
        <v>5</v>
      </c>
      <c r="G95" s="13">
        <f>D95*INDEX(Multiplier_Lookup!$C$6:$C$9,MATCH(E95,Multiplier_Lookup!$B$6:$B$9,0))</f>
        <v>85042</v>
      </c>
      <c r="H95" s="2" t="str">
        <f t="shared" si="1"/>
        <v>Google|Sales Associate</v>
      </c>
    </row>
    <row r="96" spans="1:8" x14ac:dyDescent="0.35">
      <c r="A96" s="2" t="str">
        <f>Raw_Data!A96</f>
        <v>Google</v>
      </c>
      <c r="B96" s="2" t="str">
        <f>Raw_Data!C96</f>
        <v>Sales</v>
      </c>
      <c r="C96" s="2" t="str">
        <f>Raw_Data!D96</f>
        <v>Sales</v>
      </c>
      <c r="D96" s="2">
        <f>Raw_Data!F96</f>
        <v>110602</v>
      </c>
      <c r="E96" s="2" t="str">
        <f>Raw_Data!H96</f>
        <v>YEARLY</v>
      </c>
      <c r="F96" s="2">
        <f>Raw_Data!I96</f>
        <v>9</v>
      </c>
      <c r="G96" s="13">
        <f>D96*INDEX(Multiplier_Lookup!$C$6:$C$9,MATCH(E96,Multiplier_Lookup!$B$6:$B$9,0))</f>
        <v>110602</v>
      </c>
      <c r="H96" s="2" t="str">
        <f t="shared" si="1"/>
        <v>Google|Sales</v>
      </c>
    </row>
    <row r="97" spans="1:8" x14ac:dyDescent="0.35">
      <c r="A97" s="2" t="str">
        <f>Raw_Data!A97</f>
        <v>Google</v>
      </c>
      <c r="B97" s="2" t="str">
        <f>Raw_Data!C97</f>
        <v>Sales</v>
      </c>
      <c r="C97" s="2" t="str">
        <f>Raw_Data!D97</f>
        <v>Solutions Engineer</v>
      </c>
      <c r="D97" s="2">
        <f>Raw_Data!F97</f>
        <v>145282</v>
      </c>
      <c r="E97" s="2" t="str">
        <f>Raw_Data!H97</f>
        <v>YEARLY</v>
      </c>
      <c r="F97" s="2">
        <f>Raw_Data!I97</f>
        <v>6</v>
      </c>
      <c r="G97" s="13">
        <f>D97*INDEX(Multiplier_Lookup!$C$6:$C$9,MATCH(E97,Multiplier_Lookup!$B$6:$B$9,0))</f>
        <v>145282</v>
      </c>
      <c r="H97" s="2" t="str">
        <f t="shared" si="1"/>
        <v>Google|Solutions Engineer</v>
      </c>
    </row>
    <row r="98" spans="1:8" x14ac:dyDescent="0.35">
      <c r="A98" s="2" t="str">
        <f>Raw_Data!A98</f>
        <v>Google</v>
      </c>
      <c r="B98" s="2" t="str">
        <f>Raw_Data!C98</f>
        <v>Sales</v>
      </c>
      <c r="C98" s="2" t="str">
        <f>Raw_Data!D98</f>
        <v>Sales Representative</v>
      </c>
      <c r="D98" s="2">
        <f>Raw_Data!F98</f>
        <v>79264</v>
      </c>
      <c r="E98" s="2" t="str">
        <f>Raw_Data!H98</f>
        <v>YEARLY</v>
      </c>
      <c r="F98" s="2">
        <f>Raw_Data!I98</f>
        <v>9</v>
      </c>
      <c r="G98" s="13">
        <f>D98*INDEX(Multiplier_Lookup!$C$6:$C$9,MATCH(E98,Multiplier_Lookup!$B$6:$B$9,0))</f>
        <v>79264</v>
      </c>
      <c r="H98" s="2" t="str">
        <f t="shared" si="1"/>
        <v>Google|Sales Representative</v>
      </c>
    </row>
    <row r="99" spans="1:8" x14ac:dyDescent="0.35">
      <c r="A99" s="2" t="str">
        <f>Raw_Data!A99</f>
        <v>Google</v>
      </c>
      <c r="B99" s="2" t="str">
        <f>Raw_Data!C99</f>
        <v>Sales</v>
      </c>
      <c r="C99" s="2" t="str">
        <f>Raw_Data!D99</f>
        <v>Partnership Manager</v>
      </c>
      <c r="D99" s="2">
        <f>Raw_Data!F99</f>
        <v>163802</v>
      </c>
      <c r="E99" s="2" t="str">
        <f>Raw_Data!H99</f>
        <v>YEARLY</v>
      </c>
      <c r="F99" s="2">
        <f>Raw_Data!I99</f>
        <v>6</v>
      </c>
      <c r="G99" s="13">
        <f>D99*INDEX(Multiplier_Lookup!$C$6:$C$9,MATCH(E99,Multiplier_Lookup!$B$6:$B$9,0))</f>
        <v>163802</v>
      </c>
      <c r="H99" s="2" t="str">
        <f t="shared" si="1"/>
        <v>Google|Partnership Manager</v>
      </c>
    </row>
    <row r="100" spans="1:8" x14ac:dyDescent="0.35">
      <c r="A100" s="2" t="str">
        <f>Raw_Data!A100</f>
        <v>Google</v>
      </c>
      <c r="B100" s="2" t="str">
        <f>Raw_Data!C100</f>
        <v>Sales</v>
      </c>
      <c r="C100" s="2" t="str">
        <f>Raw_Data!D100</f>
        <v>Sales Manager</v>
      </c>
      <c r="D100" s="2">
        <f>Raw_Data!F100</f>
        <v>173782</v>
      </c>
      <c r="E100" s="2" t="str">
        <f>Raw_Data!H100</f>
        <v>YEARLY</v>
      </c>
      <c r="F100" s="2">
        <f>Raw_Data!I100</f>
        <v>10</v>
      </c>
      <c r="G100" s="13">
        <f>D100*INDEX(Multiplier_Lookup!$C$6:$C$9,MATCH(E100,Multiplier_Lookup!$B$6:$B$9,0))</f>
        <v>173782</v>
      </c>
      <c r="H100" s="2" t="str">
        <f t="shared" si="1"/>
        <v>Google|Sales Manager</v>
      </c>
    </row>
    <row r="101" spans="1:8" x14ac:dyDescent="0.35">
      <c r="A101" s="2" t="str">
        <f>Raw_Data!A101</f>
        <v>Google</v>
      </c>
      <c r="B101" s="2" t="str">
        <f>Raw_Data!C101</f>
        <v>Sales</v>
      </c>
      <c r="C101" s="2" t="str">
        <f>Raw_Data!D101</f>
        <v>Senior Account Manager</v>
      </c>
      <c r="D101" s="2">
        <f>Raw_Data!F101</f>
        <v>129480</v>
      </c>
      <c r="E101" s="2" t="str">
        <f>Raw_Data!H101</f>
        <v>YEARLY</v>
      </c>
      <c r="F101" s="2">
        <f>Raw_Data!I101</f>
        <v>11</v>
      </c>
      <c r="G101" s="13">
        <f>D101*INDEX(Multiplier_Lookup!$C$6:$C$9,MATCH(E101,Multiplier_Lookup!$B$6:$B$9,0))</f>
        <v>129480</v>
      </c>
      <c r="H101" s="2" t="str">
        <f t="shared" si="1"/>
        <v>Google|Senior Account Manager</v>
      </c>
    </row>
    <row r="102" spans="1:8" x14ac:dyDescent="0.35">
      <c r="A102" s="2" t="str">
        <f>Raw_Data!A102</f>
        <v>Apple</v>
      </c>
      <c r="B102" s="2" t="str">
        <f>Raw_Data!C102</f>
        <v>Sales</v>
      </c>
      <c r="C102" s="2" t="str">
        <f>Raw_Data!D102</f>
        <v>Home Solutions Advisor</v>
      </c>
      <c r="D102" s="2">
        <f>Raw_Data!F102</f>
        <v>16.46</v>
      </c>
      <c r="E102" s="2" t="str">
        <f>Raw_Data!H102</f>
        <v>HOURLY</v>
      </c>
      <c r="F102" s="2">
        <f>Raw_Data!I102</f>
        <v>361</v>
      </c>
      <c r="G102" s="13">
        <f>D102*INDEX(Multiplier_Lookup!$C$6:$C$9,MATCH(E102,Multiplier_Lookup!$B$6:$B$9,0))</f>
        <v>34236.800000000003</v>
      </c>
      <c r="H102" s="2" t="str">
        <f t="shared" si="1"/>
        <v>Apple|Home Solutions Advisor</v>
      </c>
    </row>
    <row r="103" spans="1:8" x14ac:dyDescent="0.35">
      <c r="A103" s="2" t="str">
        <f>Raw_Data!A103</f>
        <v>Apple</v>
      </c>
      <c r="B103" s="2" t="str">
        <f>Raw_Data!C103</f>
        <v>Sales</v>
      </c>
      <c r="C103" s="2" t="str">
        <f>Raw_Data!D103</f>
        <v>Sales Associate</v>
      </c>
      <c r="D103" s="2">
        <f>Raw_Data!F103</f>
        <v>23.3</v>
      </c>
      <c r="E103" s="2" t="str">
        <f>Raw_Data!H103</f>
        <v>HOURLY</v>
      </c>
      <c r="F103" s="2">
        <f>Raw_Data!I103</f>
        <v>6</v>
      </c>
      <c r="G103" s="13">
        <f>D103*INDEX(Multiplier_Lookup!$C$6:$C$9,MATCH(E103,Multiplier_Lookup!$B$6:$B$9,0))</f>
        <v>48464</v>
      </c>
      <c r="H103" s="2" t="str">
        <f t="shared" si="1"/>
        <v>Apple|Sales Associate</v>
      </c>
    </row>
    <row r="104" spans="1:8" x14ac:dyDescent="0.35">
      <c r="A104" s="2" t="str">
        <f>Raw_Data!A104</f>
        <v>Apple</v>
      </c>
      <c r="B104" s="2" t="str">
        <f>Raw_Data!C104</f>
        <v>Sales</v>
      </c>
      <c r="C104" s="2" t="str">
        <f>Raw_Data!D104</f>
        <v>Sales Specialist</v>
      </c>
      <c r="D104" s="2">
        <f>Raw_Data!F104</f>
        <v>22.62</v>
      </c>
      <c r="E104" s="2" t="str">
        <f>Raw_Data!H104</f>
        <v>HOURLY</v>
      </c>
      <c r="F104" s="2">
        <f>Raw_Data!I104</f>
        <v>16</v>
      </c>
      <c r="G104" s="13">
        <f>D104*INDEX(Multiplier_Lookup!$C$6:$C$9,MATCH(E104,Multiplier_Lookup!$B$6:$B$9,0))</f>
        <v>47049.599999999999</v>
      </c>
      <c r="H104" s="2" t="str">
        <f t="shared" si="1"/>
        <v>Apple|Sales Specialist</v>
      </c>
    </row>
    <row r="105" spans="1:8" x14ac:dyDescent="0.35">
      <c r="A105" s="2" t="str">
        <f>Raw_Data!A105</f>
        <v>Apple</v>
      </c>
      <c r="B105" s="2" t="str">
        <f>Raw_Data!C105</f>
        <v>Sales</v>
      </c>
      <c r="C105" s="2" t="str">
        <f>Raw_Data!D105</f>
        <v>Product Specialist</v>
      </c>
      <c r="D105" s="2">
        <f>Raw_Data!F105</f>
        <v>21.47</v>
      </c>
      <c r="E105" s="2" t="str">
        <f>Raw_Data!H105</f>
        <v>HOURLY</v>
      </c>
      <c r="F105" s="2">
        <f>Raw_Data!I105</f>
        <v>11</v>
      </c>
      <c r="G105" s="13">
        <f>D105*INDEX(Multiplier_Lookup!$C$6:$C$9,MATCH(E105,Multiplier_Lookup!$B$6:$B$9,0))</f>
        <v>44657.599999999999</v>
      </c>
      <c r="H105" s="2" t="str">
        <f t="shared" si="1"/>
        <v>Apple|Product Specialist</v>
      </c>
    </row>
    <row r="106" spans="1:8" x14ac:dyDescent="0.35">
      <c r="A106" s="2" t="str">
        <f>Raw_Data!A106</f>
        <v>Apple</v>
      </c>
      <c r="B106" s="2" t="str">
        <f>Raw_Data!C106</f>
        <v>Sales</v>
      </c>
      <c r="C106" s="2" t="str">
        <f>Raw_Data!D106</f>
        <v>Sales</v>
      </c>
      <c r="D106" s="2">
        <f>Raw_Data!F106</f>
        <v>20.059999999999999</v>
      </c>
      <c r="E106" s="2" t="str">
        <f>Raw_Data!H106</f>
        <v>HOURLY</v>
      </c>
      <c r="F106" s="2">
        <f>Raw_Data!I106</f>
        <v>6</v>
      </c>
      <c r="G106" s="13">
        <f>D106*INDEX(Multiplier_Lookup!$C$6:$C$9,MATCH(E106,Multiplier_Lookup!$B$6:$B$9,0))</f>
        <v>41724.799999999996</v>
      </c>
      <c r="H106" s="2" t="str">
        <f t="shared" si="1"/>
        <v>Apple|Sales</v>
      </c>
    </row>
    <row r="107" spans="1:8" x14ac:dyDescent="0.35">
      <c r="A107" s="2" t="str">
        <f>Raw_Data!A107</f>
        <v>Apple</v>
      </c>
      <c r="B107" s="2" t="str">
        <f>Raw_Data!C107</f>
        <v>Sales</v>
      </c>
      <c r="C107" s="2" t="str">
        <f>Raw_Data!D107</f>
        <v>Account Manager</v>
      </c>
      <c r="D107" s="2">
        <f>Raw_Data!F107</f>
        <v>97514</v>
      </c>
      <c r="E107" s="2" t="str">
        <f>Raw_Data!H107</f>
        <v>YEARLY</v>
      </c>
      <c r="F107" s="2">
        <f>Raw_Data!I107</f>
        <v>5</v>
      </c>
      <c r="G107" s="13">
        <f>D107*INDEX(Multiplier_Lookup!$C$6:$C$9,MATCH(E107,Multiplier_Lookup!$B$6:$B$9,0))</f>
        <v>97514</v>
      </c>
      <c r="H107" s="2" t="str">
        <f t="shared" si="1"/>
        <v>Apple|Account Manager</v>
      </c>
    </row>
    <row r="108" spans="1:8" x14ac:dyDescent="0.35">
      <c r="A108" s="2" t="str">
        <f>Raw_Data!A108</f>
        <v>Apple</v>
      </c>
      <c r="B108" s="2" t="str">
        <f>Raw_Data!C108</f>
        <v>Sales</v>
      </c>
      <c r="C108" s="2" t="str">
        <f>Raw_Data!D108</f>
        <v>Account Executive</v>
      </c>
      <c r="D108" s="2">
        <f>Raw_Data!F108</f>
        <v>135173</v>
      </c>
      <c r="E108" s="2" t="str">
        <f>Raw_Data!H108</f>
        <v>YEARLY</v>
      </c>
      <c r="F108" s="2">
        <f>Raw_Data!I108</f>
        <v>7</v>
      </c>
      <c r="G108" s="13">
        <f>D108*INDEX(Multiplier_Lookup!$C$6:$C$9,MATCH(E108,Multiplier_Lookup!$B$6:$B$9,0))</f>
        <v>135173</v>
      </c>
      <c r="H108" s="2" t="str">
        <f t="shared" si="1"/>
        <v>Apple|Account Executive</v>
      </c>
    </row>
    <row r="109" spans="1:8" x14ac:dyDescent="0.35">
      <c r="A109" s="2" t="str">
        <f>Raw_Data!A109</f>
        <v>Apple</v>
      </c>
      <c r="B109" s="2" t="str">
        <f>Raw_Data!C109</f>
        <v>Sales</v>
      </c>
      <c r="C109" s="2" t="str">
        <f>Raw_Data!D109</f>
        <v>Sales Representative</v>
      </c>
      <c r="D109" s="2">
        <f>Raw_Data!F109</f>
        <v>66910</v>
      </c>
      <c r="E109" s="2" t="str">
        <f>Raw_Data!H109</f>
        <v>YEARLY</v>
      </c>
      <c r="F109" s="2">
        <f>Raw_Data!I109</f>
        <v>10</v>
      </c>
      <c r="G109" s="13">
        <f>D109*INDEX(Multiplier_Lookup!$C$6:$C$9,MATCH(E109,Multiplier_Lookup!$B$6:$B$9,0))</f>
        <v>66910</v>
      </c>
      <c r="H109" s="2" t="str">
        <f t="shared" si="1"/>
        <v>Apple|Sales Representative</v>
      </c>
    </row>
    <row r="110" spans="1:8" x14ac:dyDescent="0.35">
      <c r="A110" s="2" t="str">
        <f>Raw_Data!A110</f>
        <v>Apple</v>
      </c>
      <c r="B110" s="2" t="str">
        <f>Raw_Data!C110</f>
        <v>Sales</v>
      </c>
      <c r="C110" s="2" t="str">
        <f>Raw_Data!D110</f>
        <v>Solutions Engineer</v>
      </c>
      <c r="D110" s="2">
        <f>Raw_Data!F110</f>
        <v>220157</v>
      </c>
      <c r="E110" s="2" t="str">
        <f>Raw_Data!H110</f>
        <v>YEARLY</v>
      </c>
      <c r="F110" s="2">
        <f>Raw_Data!I110</f>
        <v>6</v>
      </c>
      <c r="G110" s="13">
        <f>D110*INDEX(Multiplier_Lookup!$C$6:$C$9,MATCH(E110,Multiplier_Lookup!$B$6:$B$9,0))</f>
        <v>220157</v>
      </c>
      <c r="H110" s="2" t="str">
        <f t="shared" si="1"/>
        <v>Apple|Solutions Engineer</v>
      </c>
    </row>
    <row r="111" spans="1:8" x14ac:dyDescent="0.35">
      <c r="A111" s="2" t="str">
        <f>Raw_Data!A111</f>
        <v>Apple</v>
      </c>
      <c r="B111" s="2" t="str">
        <f>Raw_Data!C111</f>
        <v>Sales</v>
      </c>
      <c r="C111" s="2" t="str">
        <f>Raw_Data!D111</f>
        <v>Inside Sales Account Executive</v>
      </c>
      <c r="D111" s="2">
        <f>Raw_Data!F111</f>
        <v>66227</v>
      </c>
      <c r="E111" s="2" t="str">
        <f>Raw_Data!H111</f>
        <v>YEARLY</v>
      </c>
      <c r="F111" s="2">
        <f>Raw_Data!I111</f>
        <v>6</v>
      </c>
      <c r="G111" s="13">
        <f>D111*INDEX(Multiplier_Lookup!$C$6:$C$9,MATCH(E111,Multiplier_Lookup!$B$6:$B$9,0))</f>
        <v>66227</v>
      </c>
      <c r="H111" s="2" t="str">
        <f t="shared" si="1"/>
        <v>Apple|Inside Sales Account Executive</v>
      </c>
    </row>
    <row r="112" spans="1:8" x14ac:dyDescent="0.35">
      <c r="A112" s="2" t="str">
        <f>Raw_Data!A112</f>
        <v>Microsoft</v>
      </c>
      <c r="B112" s="2" t="str">
        <f>Raw_Data!C112</f>
        <v>Sales</v>
      </c>
      <c r="C112" s="2" t="str">
        <f>Raw_Data!D112</f>
        <v>Account Executive</v>
      </c>
      <c r="D112" s="2">
        <f>Raw_Data!F112</f>
        <v>123495</v>
      </c>
      <c r="E112" s="2" t="str">
        <f>Raw_Data!H112</f>
        <v>YEARLY</v>
      </c>
      <c r="F112" s="2">
        <f>Raw_Data!I112</f>
        <v>14</v>
      </c>
      <c r="G112" s="13">
        <f>D112*INDEX(Multiplier_Lookup!$C$6:$C$9,MATCH(E112,Multiplier_Lookup!$B$6:$B$9,0))</f>
        <v>123495</v>
      </c>
      <c r="H112" s="2" t="str">
        <f t="shared" si="1"/>
        <v>Microsoft|Account Executive</v>
      </c>
    </row>
    <row r="113" spans="1:8" x14ac:dyDescent="0.35">
      <c r="A113" s="2" t="str">
        <f>Raw_Data!A113</f>
        <v>Microsoft</v>
      </c>
      <c r="B113" s="2" t="str">
        <f>Raw_Data!C113</f>
        <v>Sales</v>
      </c>
      <c r="C113" s="2" t="str">
        <f>Raw_Data!D113</f>
        <v>Account Manager</v>
      </c>
      <c r="D113" s="2">
        <f>Raw_Data!F113</f>
        <v>139354</v>
      </c>
      <c r="E113" s="2" t="str">
        <f>Raw_Data!H113</f>
        <v>YEARLY</v>
      </c>
      <c r="F113" s="2">
        <f>Raw_Data!I113</f>
        <v>7</v>
      </c>
      <c r="G113" s="13">
        <f>D113*INDEX(Multiplier_Lookup!$C$6:$C$9,MATCH(E113,Multiplier_Lookup!$B$6:$B$9,0))</f>
        <v>139354</v>
      </c>
      <c r="H113" s="2" t="str">
        <f t="shared" si="1"/>
        <v>Microsoft|Account Manager</v>
      </c>
    </row>
    <row r="114" spans="1:8" x14ac:dyDescent="0.35">
      <c r="A114" s="2" t="str">
        <f>Raw_Data!A114</f>
        <v>Microsoft</v>
      </c>
      <c r="B114" s="2" t="str">
        <f>Raw_Data!C114</f>
        <v>Sales</v>
      </c>
      <c r="C114" s="2" t="str">
        <f>Raw_Data!D114</f>
        <v>Digital Marketing Sales Representative</v>
      </c>
      <c r="D114" s="2">
        <f>Raw_Data!F114</f>
        <v>64210</v>
      </c>
      <c r="E114" s="2" t="str">
        <f>Raw_Data!H114</f>
        <v>YEARLY</v>
      </c>
      <c r="F114" s="2">
        <f>Raw_Data!I114</f>
        <v>14</v>
      </c>
      <c r="G114" s="13">
        <f>D114*INDEX(Multiplier_Lookup!$C$6:$C$9,MATCH(E114,Multiplier_Lookup!$B$6:$B$9,0))</f>
        <v>64210</v>
      </c>
      <c r="H114" s="2" t="str">
        <f t="shared" si="1"/>
        <v>Microsoft|Digital Marketing Sales Representative</v>
      </c>
    </row>
    <row r="115" spans="1:8" x14ac:dyDescent="0.35">
      <c r="A115" s="2" t="str">
        <f>Raw_Data!A115</f>
        <v>Microsoft</v>
      </c>
      <c r="B115" s="2" t="str">
        <f>Raw_Data!C115</f>
        <v>Sales</v>
      </c>
      <c r="C115" s="2" t="str">
        <f>Raw_Data!D115</f>
        <v>Partnership Manager</v>
      </c>
      <c r="D115" s="2">
        <f>Raw_Data!F115</f>
        <v>158588</v>
      </c>
      <c r="E115" s="2" t="str">
        <f>Raw_Data!H115</f>
        <v>YEARLY</v>
      </c>
      <c r="F115" s="2">
        <f>Raw_Data!I115</f>
        <v>6</v>
      </c>
      <c r="G115" s="13">
        <f>D115*INDEX(Multiplier_Lookup!$C$6:$C$9,MATCH(E115,Multiplier_Lookup!$B$6:$B$9,0))</f>
        <v>158588</v>
      </c>
      <c r="H115" s="2" t="str">
        <f t="shared" si="1"/>
        <v>Microsoft|Partnership Manager</v>
      </c>
    </row>
    <row r="116" spans="1:8" x14ac:dyDescent="0.35">
      <c r="A116" s="2" t="str">
        <f>Raw_Data!A116</f>
        <v>Microsoft</v>
      </c>
      <c r="B116" s="2" t="str">
        <f>Raw_Data!C116</f>
        <v>Sales</v>
      </c>
      <c r="C116" s="2" t="str">
        <f>Raw_Data!D116</f>
        <v>Sales Associate</v>
      </c>
      <c r="D116" s="2">
        <f>Raw_Data!F116</f>
        <v>75784</v>
      </c>
      <c r="E116" s="2" t="str">
        <f>Raw_Data!H116</f>
        <v>YEARLY</v>
      </c>
      <c r="F116" s="2">
        <f>Raw_Data!I116</f>
        <v>11</v>
      </c>
      <c r="G116" s="13">
        <f>D116*INDEX(Multiplier_Lookup!$C$6:$C$9,MATCH(E116,Multiplier_Lookup!$B$6:$B$9,0))</f>
        <v>75784</v>
      </c>
      <c r="H116" s="2" t="str">
        <f t="shared" si="1"/>
        <v>Microsoft|Sales Associate</v>
      </c>
    </row>
    <row r="117" spans="1:8" x14ac:dyDescent="0.35">
      <c r="A117" s="2" t="str">
        <f>Raw_Data!A117</f>
        <v>Microsoft</v>
      </c>
      <c r="B117" s="2" t="str">
        <f>Raw_Data!C117</f>
        <v>Sales</v>
      </c>
      <c r="C117" s="2" t="str">
        <f>Raw_Data!D117</f>
        <v>Sales</v>
      </c>
      <c r="D117" s="2">
        <f>Raw_Data!F117</f>
        <v>97282</v>
      </c>
      <c r="E117" s="2" t="str">
        <f>Raw_Data!H117</f>
        <v>YEARLY</v>
      </c>
      <c r="F117" s="2">
        <f>Raw_Data!I117</f>
        <v>9</v>
      </c>
      <c r="G117" s="13">
        <f>D117*INDEX(Multiplier_Lookup!$C$6:$C$9,MATCH(E117,Multiplier_Lookup!$B$6:$B$9,0))</f>
        <v>97282</v>
      </c>
      <c r="H117" s="2" t="str">
        <f t="shared" si="1"/>
        <v>Microsoft|Sales</v>
      </c>
    </row>
    <row r="118" spans="1:8" x14ac:dyDescent="0.35">
      <c r="A118" s="2" t="str">
        <f>Raw_Data!A118</f>
        <v>Microsoft</v>
      </c>
      <c r="B118" s="2" t="str">
        <f>Raw_Data!C118</f>
        <v>Sales</v>
      </c>
      <c r="C118" s="2" t="str">
        <f>Raw_Data!D118</f>
        <v>Solution Specialist</v>
      </c>
      <c r="D118" s="2">
        <f>Raw_Data!F118</f>
        <v>145153</v>
      </c>
      <c r="E118" s="2" t="str">
        <f>Raw_Data!H118</f>
        <v>YEARLY</v>
      </c>
      <c r="F118" s="2">
        <f>Raw_Data!I118</f>
        <v>9</v>
      </c>
      <c r="G118" s="13">
        <f>D118*INDEX(Multiplier_Lookup!$C$6:$C$9,MATCH(E118,Multiplier_Lookup!$B$6:$B$9,0))</f>
        <v>145153</v>
      </c>
      <c r="H118" s="2" t="str">
        <f t="shared" si="1"/>
        <v>Microsoft|Solution Specialist</v>
      </c>
    </row>
    <row r="119" spans="1:8" x14ac:dyDescent="0.35">
      <c r="A119" s="2" t="str">
        <f>Raw_Data!A119</f>
        <v>Microsoft</v>
      </c>
      <c r="B119" s="2" t="str">
        <f>Raw_Data!C119</f>
        <v>Sales</v>
      </c>
      <c r="C119" s="2" t="str">
        <f>Raw_Data!D119</f>
        <v>Sales Specialist</v>
      </c>
      <c r="D119" s="2">
        <f>Raw_Data!F119</f>
        <v>124960</v>
      </c>
      <c r="E119" s="2" t="str">
        <f>Raw_Data!H119</f>
        <v>YEARLY</v>
      </c>
      <c r="F119" s="2">
        <f>Raw_Data!I119</f>
        <v>5</v>
      </c>
      <c r="G119" s="13">
        <f>D119*INDEX(Multiplier_Lookup!$C$6:$C$9,MATCH(E119,Multiplier_Lookup!$B$6:$B$9,0))</f>
        <v>124960</v>
      </c>
      <c r="H119" s="2" t="str">
        <f t="shared" si="1"/>
        <v>Microsoft|Sales Specialist</v>
      </c>
    </row>
    <row r="120" spans="1:8" x14ac:dyDescent="0.35">
      <c r="A120" s="2" t="str">
        <f>Raw_Data!A120</f>
        <v>Microsoft</v>
      </c>
      <c r="B120" s="2" t="str">
        <f>Raw_Data!C120</f>
        <v>Sales</v>
      </c>
      <c r="C120" s="2" t="str">
        <f>Raw_Data!D120</f>
        <v>Sales Representative</v>
      </c>
      <c r="D120" s="2">
        <f>Raw_Data!F120</f>
        <v>67043</v>
      </c>
      <c r="E120" s="2" t="str">
        <f>Raw_Data!H120</f>
        <v>YEARLY</v>
      </c>
      <c r="F120" s="2">
        <f>Raw_Data!I120</f>
        <v>10</v>
      </c>
      <c r="G120" s="13">
        <f>D120*INDEX(Multiplier_Lookup!$C$6:$C$9,MATCH(E120,Multiplier_Lookup!$B$6:$B$9,0))</f>
        <v>67043</v>
      </c>
      <c r="H120" s="2" t="str">
        <f t="shared" si="1"/>
        <v>Microsoft|Sales Representative</v>
      </c>
    </row>
    <row r="121" spans="1:8" x14ac:dyDescent="0.35">
      <c r="A121" s="2" t="str">
        <f>Raw_Data!A121</f>
        <v>Microsoft</v>
      </c>
      <c r="B121" s="2" t="str">
        <f>Raw_Data!C121</f>
        <v>Sales</v>
      </c>
      <c r="C121" s="2" t="str">
        <f>Raw_Data!D121</f>
        <v>Sales Manager</v>
      </c>
      <c r="D121" s="2">
        <f>Raw_Data!F121</f>
        <v>155584</v>
      </c>
      <c r="E121" s="2" t="str">
        <f>Raw_Data!H121</f>
        <v>YEARLY</v>
      </c>
      <c r="F121" s="2">
        <f>Raw_Data!I121</f>
        <v>7</v>
      </c>
      <c r="G121" s="13">
        <f>D121*INDEX(Multiplier_Lookup!$C$6:$C$9,MATCH(E121,Multiplier_Lookup!$B$6:$B$9,0))</f>
        <v>155584</v>
      </c>
      <c r="H121" s="2" t="str">
        <f t="shared" si="1"/>
        <v>Microsoft|Sales Manager</v>
      </c>
    </row>
    <row r="122" spans="1:8" x14ac:dyDescent="0.35">
      <c r="A122" s="2" t="str">
        <f>Raw_Data!A122</f>
        <v>Meta</v>
      </c>
      <c r="B122" s="2" t="str">
        <f>Raw_Data!C122</f>
        <v>IT Operations &amp; Helpdesk</v>
      </c>
      <c r="C122" s="2" t="str">
        <f>Raw_Data!D122</f>
        <v>Data Center Engineer</v>
      </c>
      <c r="D122" s="2">
        <f>Raw_Data!F122</f>
        <v>186317</v>
      </c>
      <c r="E122" s="2" t="str">
        <f>Raw_Data!H122</f>
        <v>YEARLY</v>
      </c>
      <c r="F122" s="2">
        <f>Raw_Data!I122</f>
        <v>30</v>
      </c>
      <c r="G122" s="13">
        <f>D122*INDEX(Multiplier_Lookup!$C$6:$C$9,MATCH(E122,Multiplier_Lookup!$B$6:$B$9,0))</f>
        <v>186317</v>
      </c>
      <c r="H122" s="2" t="str">
        <f t="shared" si="1"/>
        <v>Meta|Data Center Engineer</v>
      </c>
    </row>
    <row r="123" spans="1:8" x14ac:dyDescent="0.35">
      <c r="A123" s="2" t="str">
        <f>Raw_Data!A123</f>
        <v>Meta</v>
      </c>
      <c r="B123" s="2" t="str">
        <f>Raw_Data!C123</f>
        <v>IT Operations &amp; Helpdesk</v>
      </c>
      <c r="C123" s="2" t="str">
        <f>Raw_Data!D123</f>
        <v>Network Engineer</v>
      </c>
      <c r="D123" s="2">
        <f>Raw_Data!F123</f>
        <v>168609</v>
      </c>
      <c r="E123" s="2" t="str">
        <f>Raw_Data!H123</f>
        <v>YEARLY</v>
      </c>
      <c r="F123" s="2">
        <f>Raw_Data!I123</f>
        <v>11</v>
      </c>
      <c r="G123" s="13">
        <f>D123*INDEX(Multiplier_Lookup!$C$6:$C$9,MATCH(E123,Multiplier_Lookup!$B$6:$B$9,0))</f>
        <v>168609</v>
      </c>
      <c r="H123" s="2" t="str">
        <f t="shared" si="1"/>
        <v>Meta|Network Engineer</v>
      </c>
    </row>
    <row r="124" spans="1:8" x14ac:dyDescent="0.35">
      <c r="A124" s="2" t="str">
        <f>Raw_Data!A124</f>
        <v>Meta</v>
      </c>
      <c r="B124" s="2" t="str">
        <f>Raw_Data!C124</f>
        <v>IT Operations &amp; Helpdesk</v>
      </c>
      <c r="C124" s="2" t="str">
        <f>Raw_Data!D124</f>
        <v>Data Center Lead</v>
      </c>
      <c r="D124" s="2">
        <f>Raw_Data!F124</f>
        <v>228480</v>
      </c>
      <c r="E124" s="2" t="str">
        <f>Raw_Data!H124</f>
        <v>YEARLY</v>
      </c>
      <c r="F124" s="2">
        <f>Raw_Data!I124</f>
        <v>10</v>
      </c>
      <c r="G124" s="13">
        <f>D124*INDEX(Multiplier_Lookup!$C$6:$C$9,MATCH(E124,Multiplier_Lookup!$B$6:$B$9,0))</f>
        <v>228480</v>
      </c>
      <c r="H124" s="2" t="str">
        <f t="shared" si="1"/>
        <v>Meta|Data Center Lead</v>
      </c>
    </row>
    <row r="125" spans="1:8" x14ac:dyDescent="0.35">
      <c r="A125" s="2" t="str">
        <f>Raw_Data!A125</f>
        <v>Meta</v>
      </c>
      <c r="B125" s="2" t="str">
        <f>Raw_Data!C125</f>
        <v>IT Operations &amp; Helpdesk</v>
      </c>
      <c r="C125" s="2" t="str">
        <f>Raw_Data!D125</f>
        <v>Data Center Technician</v>
      </c>
      <c r="D125" s="2">
        <f>Raw_Data!F125</f>
        <v>26.66</v>
      </c>
      <c r="E125" s="2" t="str">
        <f>Raw_Data!H125</f>
        <v>HOURLY</v>
      </c>
      <c r="F125" s="2">
        <f>Raw_Data!I125</f>
        <v>5</v>
      </c>
      <c r="G125" s="13">
        <f>D125*INDEX(Multiplier_Lookup!$C$6:$C$9,MATCH(E125,Multiplier_Lookup!$B$6:$B$9,0))</f>
        <v>55452.800000000003</v>
      </c>
      <c r="H125" s="2" t="str">
        <f t="shared" si="1"/>
        <v>Meta|Data Center Technician</v>
      </c>
    </row>
    <row r="126" spans="1:8" x14ac:dyDescent="0.35">
      <c r="A126" s="2" t="str">
        <f>Raw_Data!A126</f>
        <v>Meta</v>
      </c>
      <c r="B126" s="2" t="str">
        <f>Raw_Data!C126</f>
        <v>Administrative Assistance</v>
      </c>
      <c r="C126" s="2" t="str">
        <f>Raw_Data!D126</f>
        <v>Administrative Specialist</v>
      </c>
      <c r="D126" s="2">
        <f>Raw_Data!F126</f>
        <v>48.54</v>
      </c>
      <c r="E126" s="2" t="str">
        <f>Raw_Data!H126</f>
        <v>HOURLY</v>
      </c>
      <c r="F126" s="2">
        <f>Raw_Data!I126</f>
        <v>24</v>
      </c>
      <c r="G126" s="13">
        <f>D126*INDEX(Multiplier_Lookup!$C$6:$C$9,MATCH(E126,Multiplier_Lookup!$B$6:$B$9,0))</f>
        <v>100963.2</v>
      </c>
      <c r="H126" s="2" t="str">
        <f t="shared" si="1"/>
        <v>Meta|Administrative Specialist</v>
      </c>
    </row>
    <row r="127" spans="1:8" x14ac:dyDescent="0.35">
      <c r="A127" s="2" t="str">
        <f>Raw_Data!A127</f>
        <v>Meta</v>
      </c>
      <c r="B127" s="2" t="str">
        <f>Raw_Data!C127</f>
        <v>Administrative Assistance</v>
      </c>
      <c r="C127" s="2" t="str">
        <f>Raw_Data!D127</f>
        <v>Administration Executive</v>
      </c>
      <c r="D127" s="2">
        <f>Raw_Data!F127</f>
        <v>57.48</v>
      </c>
      <c r="E127" s="2" t="str">
        <f>Raw_Data!H127</f>
        <v>HOURLY</v>
      </c>
      <c r="F127" s="2">
        <f>Raw_Data!I127</f>
        <v>9</v>
      </c>
      <c r="G127" s="13">
        <f>D127*INDEX(Multiplier_Lookup!$C$6:$C$9,MATCH(E127,Multiplier_Lookup!$B$6:$B$9,0))</f>
        <v>119558.39999999999</v>
      </c>
      <c r="H127" s="2" t="str">
        <f t="shared" si="1"/>
        <v>Meta|Administration Executive</v>
      </c>
    </row>
    <row r="128" spans="1:8" x14ac:dyDescent="0.35">
      <c r="A128" s="2" t="str">
        <f>Raw_Data!A128</f>
        <v>Meta</v>
      </c>
      <c r="B128" s="2" t="str">
        <f>Raw_Data!C128</f>
        <v>Administrative Assistance</v>
      </c>
      <c r="C128" s="2" t="str">
        <f>Raw_Data!D128</f>
        <v>Site Coordinator</v>
      </c>
      <c r="D128" s="2">
        <f>Raw_Data!F128</f>
        <v>34.65</v>
      </c>
      <c r="E128" s="2" t="str">
        <f>Raw_Data!H128</f>
        <v>HOURLY</v>
      </c>
      <c r="F128" s="2">
        <f>Raw_Data!I128</f>
        <v>1</v>
      </c>
      <c r="G128" s="13">
        <f>D128*INDEX(Multiplier_Lookup!$C$6:$C$9,MATCH(E128,Multiplier_Lookup!$B$6:$B$9,0))</f>
        <v>72072</v>
      </c>
      <c r="H128" s="2" t="str">
        <f t="shared" si="1"/>
        <v>Meta|Site Coordinator</v>
      </c>
    </row>
    <row r="129" spans="1:8" x14ac:dyDescent="0.35">
      <c r="A129" s="2" t="str">
        <f>Raw_Data!A129</f>
        <v>Meta</v>
      </c>
      <c r="B129" s="2" t="str">
        <f>Raw_Data!C129</f>
        <v>Administrative Assistance</v>
      </c>
      <c r="C129" s="2" t="str">
        <f>Raw_Data!D129</f>
        <v>Center Manager</v>
      </c>
      <c r="D129" s="2">
        <f>Raw_Data!F129</f>
        <v>201224</v>
      </c>
      <c r="E129" s="2" t="str">
        <f>Raw_Data!H129</f>
        <v>YEARLY</v>
      </c>
      <c r="F129" s="2">
        <f>Raw_Data!I129</f>
        <v>1</v>
      </c>
      <c r="G129" s="13">
        <f>D129*INDEX(Multiplier_Lookup!$C$6:$C$9,MATCH(E129,Multiplier_Lookup!$B$6:$B$9,0))</f>
        <v>201224</v>
      </c>
      <c r="H129" s="2" t="str">
        <f t="shared" si="1"/>
        <v>Meta|Center Manager</v>
      </c>
    </row>
    <row r="130" spans="1:8" x14ac:dyDescent="0.35">
      <c r="A130" s="2" t="str">
        <f>Raw_Data!A130</f>
        <v>Meta</v>
      </c>
      <c r="B130" s="2" t="str">
        <f>Raw_Data!C130</f>
        <v>Administrative Assistance</v>
      </c>
      <c r="C130" s="2" t="str">
        <f>Raw_Data!D130</f>
        <v>Administrative Assistant</v>
      </c>
      <c r="D130" s="2">
        <f>Raw_Data!F130</f>
        <v>41</v>
      </c>
      <c r="E130" s="2" t="str">
        <f>Raw_Data!H130</f>
        <v>HOURLY</v>
      </c>
      <c r="F130" s="2">
        <f>Raw_Data!I130</f>
        <v>1</v>
      </c>
      <c r="G130" s="13">
        <f>D130*INDEX(Multiplier_Lookup!$C$6:$C$9,MATCH(E130,Multiplier_Lookup!$B$6:$B$9,0))</f>
        <v>85280</v>
      </c>
      <c r="H130" s="2" t="str">
        <f t="shared" ref="H130:H193" si="2">A130&amp;"|"&amp;C130</f>
        <v>Meta|Administrative Assistant</v>
      </c>
    </row>
    <row r="131" spans="1:8" x14ac:dyDescent="0.35">
      <c r="A131" s="2" t="str">
        <f>Raw_Data!A131</f>
        <v>Meta</v>
      </c>
      <c r="B131" s="2" t="str">
        <f>Raw_Data!C131</f>
        <v>Project Management</v>
      </c>
      <c r="C131" s="2" t="str">
        <f>Raw_Data!D131</f>
        <v>Program Manager</v>
      </c>
      <c r="D131" s="2">
        <f>Raw_Data!F131</f>
        <v>126647</v>
      </c>
      <c r="E131" s="2" t="str">
        <f>Raw_Data!H131</f>
        <v>YEARLY</v>
      </c>
      <c r="F131" s="2">
        <f>Raw_Data!I131</f>
        <v>20</v>
      </c>
      <c r="G131" s="13">
        <f>D131*INDEX(Multiplier_Lookup!$C$6:$C$9,MATCH(E131,Multiplier_Lookup!$B$6:$B$9,0))</f>
        <v>126647</v>
      </c>
      <c r="H131" s="2" t="str">
        <f t="shared" si="2"/>
        <v>Meta|Program Manager</v>
      </c>
    </row>
    <row r="132" spans="1:8" x14ac:dyDescent="0.35">
      <c r="A132" s="2" t="str">
        <f>Raw_Data!A132</f>
        <v>Netflix</v>
      </c>
      <c r="B132" s="2" t="str">
        <f>Raw_Data!C132</f>
        <v>Administrative Assistance</v>
      </c>
      <c r="C132" s="2" t="str">
        <f>Raw_Data!D132</f>
        <v>Administrative Assistant</v>
      </c>
      <c r="D132" s="2">
        <f>Raw_Data!F132</f>
        <v>94193</v>
      </c>
      <c r="E132" s="2" t="str">
        <f>Raw_Data!H132</f>
        <v>YEARLY</v>
      </c>
      <c r="F132" s="2">
        <f>Raw_Data!I132</f>
        <v>6</v>
      </c>
      <c r="G132" s="13">
        <f>D132*INDEX(Multiplier_Lookup!$C$6:$C$9,MATCH(E132,Multiplier_Lookup!$B$6:$B$9,0))</f>
        <v>94193</v>
      </c>
      <c r="H132" s="2" t="str">
        <f t="shared" si="2"/>
        <v>Netflix|Administrative Assistant</v>
      </c>
    </row>
    <row r="133" spans="1:8" x14ac:dyDescent="0.35">
      <c r="A133" s="2" t="str">
        <f>Raw_Data!A133</f>
        <v>Netflix</v>
      </c>
      <c r="B133" s="2" t="str">
        <f>Raw_Data!C133</f>
        <v>Administrative Assistance</v>
      </c>
      <c r="C133" s="2" t="str">
        <f>Raw_Data!D133</f>
        <v>Executive Assistant</v>
      </c>
      <c r="D133" s="2">
        <f>Raw_Data!F133</f>
        <v>123559</v>
      </c>
      <c r="E133" s="2" t="str">
        <f>Raw_Data!H133</f>
        <v>YEARLY</v>
      </c>
      <c r="F133" s="2">
        <f>Raw_Data!I133</f>
        <v>7</v>
      </c>
      <c r="G133" s="13">
        <f>D133*INDEX(Multiplier_Lookup!$C$6:$C$9,MATCH(E133,Multiplier_Lookup!$B$6:$B$9,0))</f>
        <v>123559</v>
      </c>
      <c r="H133" s="2" t="str">
        <f t="shared" si="2"/>
        <v>Netflix|Executive Assistant</v>
      </c>
    </row>
    <row r="134" spans="1:8" x14ac:dyDescent="0.35">
      <c r="A134" s="2" t="str">
        <f>Raw_Data!A134</f>
        <v>Netflix</v>
      </c>
      <c r="B134" s="2" t="str">
        <f>Raw_Data!C134</f>
        <v>Administrative Assistance</v>
      </c>
      <c r="C134" s="2" t="str">
        <f>Raw_Data!D134</f>
        <v>Production Assistant</v>
      </c>
      <c r="D134" s="2">
        <f>Raw_Data!F134</f>
        <v>19.86</v>
      </c>
      <c r="E134" s="2" t="str">
        <f>Raw_Data!H134</f>
        <v>HOURLY</v>
      </c>
      <c r="F134" s="2">
        <f>Raw_Data!I134</f>
        <v>8</v>
      </c>
      <c r="G134" s="13">
        <f>D134*INDEX(Multiplier_Lookup!$C$6:$C$9,MATCH(E134,Multiplier_Lookup!$B$6:$B$9,0))</f>
        <v>41308.799999999996</v>
      </c>
      <c r="H134" s="2" t="str">
        <f t="shared" si="2"/>
        <v>Netflix|Production Assistant</v>
      </c>
    </row>
    <row r="135" spans="1:8" x14ac:dyDescent="0.35">
      <c r="A135" s="2" t="str">
        <f>Raw_Data!A135</f>
        <v>Netflix</v>
      </c>
      <c r="B135" s="2" t="str">
        <f>Raw_Data!C135</f>
        <v>Administrative Assistance</v>
      </c>
      <c r="C135" s="2" t="str">
        <f>Raw_Data!D135</f>
        <v>Operations Associate</v>
      </c>
      <c r="D135" s="2">
        <f>Raw_Data!F135</f>
        <v>121334</v>
      </c>
      <c r="E135" s="2" t="str">
        <f>Raw_Data!H135</f>
        <v>YEARLY</v>
      </c>
      <c r="F135" s="2">
        <f>Raw_Data!I135</f>
        <v>3</v>
      </c>
      <c r="G135" s="13">
        <f>D135*INDEX(Multiplier_Lookup!$C$6:$C$9,MATCH(E135,Multiplier_Lookup!$B$6:$B$9,0))</f>
        <v>121334</v>
      </c>
      <c r="H135" s="2" t="str">
        <f t="shared" si="2"/>
        <v>Netflix|Operations Associate</v>
      </c>
    </row>
    <row r="136" spans="1:8" x14ac:dyDescent="0.35">
      <c r="A136" s="2" t="str">
        <f>Raw_Data!A136</f>
        <v>Netflix</v>
      </c>
      <c r="B136" s="2" t="str">
        <f>Raw_Data!C136</f>
        <v>Administrative Assistance</v>
      </c>
      <c r="C136" s="2" t="str">
        <f>Raw_Data!D136</f>
        <v>Talent Coordinator</v>
      </c>
      <c r="D136" s="2">
        <f>Raw_Data!F136</f>
        <v>29.85</v>
      </c>
      <c r="E136" s="2" t="str">
        <f>Raw_Data!H136</f>
        <v>HOURLY</v>
      </c>
      <c r="F136" s="2">
        <f>Raw_Data!I136</f>
        <v>1</v>
      </c>
      <c r="G136" s="13">
        <f>D136*INDEX(Multiplier_Lookup!$C$6:$C$9,MATCH(E136,Multiplier_Lookup!$B$6:$B$9,0))</f>
        <v>62088</v>
      </c>
      <c r="H136" s="2" t="str">
        <f t="shared" si="2"/>
        <v>Netflix|Talent Coordinator</v>
      </c>
    </row>
    <row r="137" spans="1:8" x14ac:dyDescent="0.35">
      <c r="A137" s="2" t="str">
        <f>Raw_Data!A137</f>
        <v>Netflix</v>
      </c>
      <c r="B137" s="2" t="str">
        <f>Raw_Data!C137</f>
        <v>Administrative Assistance</v>
      </c>
      <c r="C137" s="2" t="str">
        <f>Raw_Data!D137</f>
        <v>Contract Coordinator</v>
      </c>
      <c r="D137" s="2">
        <f>Raw_Data!F137</f>
        <v>57.93</v>
      </c>
      <c r="E137" s="2" t="str">
        <f>Raw_Data!H137</f>
        <v>HOURLY</v>
      </c>
      <c r="F137" s="2">
        <f>Raw_Data!I137</f>
        <v>1</v>
      </c>
      <c r="G137" s="13">
        <f>D137*INDEX(Multiplier_Lookup!$C$6:$C$9,MATCH(E137,Multiplier_Lookup!$B$6:$B$9,0))</f>
        <v>120494.39999999999</v>
      </c>
      <c r="H137" s="2" t="str">
        <f t="shared" si="2"/>
        <v>Netflix|Contract Coordinator</v>
      </c>
    </row>
    <row r="138" spans="1:8" x14ac:dyDescent="0.35">
      <c r="A138" s="2" t="str">
        <f>Raw_Data!A138</f>
        <v>Netflix</v>
      </c>
      <c r="B138" s="2" t="str">
        <f>Raw_Data!C138</f>
        <v>Marketing</v>
      </c>
      <c r="C138" s="2" t="str">
        <f>Raw_Data!D138</f>
        <v>Associate Creative Director</v>
      </c>
      <c r="D138" s="2">
        <f>Raw_Data!F138</f>
        <v>78684</v>
      </c>
      <c r="E138" s="2" t="str">
        <f>Raw_Data!H138</f>
        <v>YEARLY</v>
      </c>
      <c r="F138" s="2">
        <f>Raw_Data!I138</f>
        <v>9</v>
      </c>
      <c r="G138" s="13">
        <f>D138*INDEX(Multiplier_Lookup!$C$6:$C$9,MATCH(E138,Multiplier_Lookup!$B$6:$B$9,0))</f>
        <v>78684</v>
      </c>
      <c r="H138" s="2" t="str">
        <f t="shared" si="2"/>
        <v>Netflix|Associate Creative Director</v>
      </c>
    </row>
    <row r="139" spans="1:8" x14ac:dyDescent="0.35">
      <c r="A139" s="2" t="str">
        <f>Raw_Data!A139</f>
        <v>Netflix</v>
      </c>
      <c r="B139" s="2" t="str">
        <f>Raw_Data!C139</f>
        <v>Marketing</v>
      </c>
      <c r="C139" s="2" t="str">
        <f>Raw_Data!D139</f>
        <v>Marketing Coordinator</v>
      </c>
      <c r="D139" s="2">
        <f>Raw_Data!F139</f>
        <v>108362</v>
      </c>
      <c r="E139" s="2" t="str">
        <f>Raw_Data!H139</f>
        <v>YEARLY</v>
      </c>
      <c r="F139" s="2">
        <f>Raw_Data!I139</f>
        <v>3</v>
      </c>
      <c r="G139" s="13">
        <f>D139*INDEX(Multiplier_Lookup!$C$6:$C$9,MATCH(E139,Multiplier_Lookup!$B$6:$B$9,0))</f>
        <v>108362</v>
      </c>
      <c r="H139" s="2" t="str">
        <f t="shared" si="2"/>
        <v>Netflix|Marketing Coordinator</v>
      </c>
    </row>
    <row r="140" spans="1:8" x14ac:dyDescent="0.35">
      <c r="A140" s="2" t="str">
        <f>Raw_Data!A140</f>
        <v>Netflix</v>
      </c>
      <c r="B140" s="2" t="str">
        <f>Raw_Data!C140</f>
        <v>Marketing</v>
      </c>
      <c r="C140" s="2" t="str">
        <f>Raw_Data!D140</f>
        <v>Director of Marketing</v>
      </c>
      <c r="D140" s="2">
        <f>Raw_Data!F140</f>
        <v>272049</v>
      </c>
      <c r="E140" s="2" t="str">
        <f>Raw_Data!H140</f>
        <v>YEARLY</v>
      </c>
      <c r="F140" s="2">
        <f>Raw_Data!I140</f>
        <v>4</v>
      </c>
      <c r="G140" s="13">
        <f>D140*INDEX(Multiplier_Lookup!$C$6:$C$9,MATCH(E140,Multiplier_Lookup!$B$6:$B$9,0))</f>
        <v>272049</v>
      </c>
      <c r="H140" s="2" t="str">
        <f t="shared" si="2"/>
        <v>Netflix|Director of Marketing</v>
      </c>
    </row>
    <row r="141" spans="1:8" x14ac:dyDescent="0.35">
      <c r="A141" s="2" t="str">
        <f>Raw_Data!A141</f>
        <v>Netflix</v>
      </c>
      <c r="B141" s="2" t="str">
        <f>Raw_Data!C141</f>
        <v>Marketing</v>
      </c>
      <c r="C141" s="2" t="str">
        <f>Raw_Data!D141</f>
        <v>Marketing Manager</v>
      </c>
      <c r="D141" s="2">
        <f>Raw_Data!F141</f>
        <v>269508</v>
      </c>
      <c r="E141" s="2" t="str">
        <f>Raw_Data!H141</f>
        <v>YEARLY</v>
      </c>
      <c r="F141" s="2">
        <f>Raw_Data!I141</f>
        <v>3</v>
      </c>
      <c r="G141" s="13">
        <f>D141*INDEX(Multiplier_Lookup!$C$6:$C$9,MATCH(E141,Multiplier_Lookup!$B$6:$B$9,0))</f>
        <v>269508</v>
      </c>
      <c r="H141" s="2" t="str">
        <f t="shared" si="2"/>
        <v>Netflix|Marketing Manager</v>
      </c>
    </row>
    <row r="142" spans="1:8" x14ac:dyDescent="0.35">
      <c r="A142" s="2" t="str">
        <f>Raw_Data!A142</f>
        <v>Tesla</v>
      </c>
      <c r="B142" s="2" t="str">
        <f>Raw_Data!C142</f>
        <v>Software Development</v>
      </c>
      <c r="C142" s="2" t="str">
        <f>Raw_Data!D142</f>
        <v>Software Engineer</v>
      </c>
      <c r="D142" s="2">
        <f>Raw_Data!F142</f>
        <v>144614</v>
      </c>
      <c r="E142" s="2" t="str">
        <f>Raw_Data!H142</f>
        <v>YEARLY</v>
      </c>
      <c r="F142" s="2">
        <f>Raw_Data!I142</f>
        <v>30</v>
      </c>
      <c r="G142" s="13">
        <f>D142*INDEX(Multiplier_Lookup!$C$6:$C$9,MATCH(E142,Multiplier_Lookup!$B$6:$B$9,0))</f>
        <v>144614</v>
      </c>
      <c r="H142" s="2" t="str">
        <f t="shared" si="2"/>
        <v>Tesla|Software Engineer</v>
      </c>
    </row>
    <row r="143" spans="1:8" x14ac:dyDescent="0.35">
      <c r="A143" s="2" t="str">
        <f>Raw_Data!A143</f>
        <v>Tesla</v>
      </c>
      <c r="B143" s="2" t="str">
        <f>Raw_Data!C143</f>
        <v>Software Development</v>
      </c>
      <c r="C143" s="2" t="str">
        <f>Raw_Data!D143</f>
        <v>Technical Program Manager</v>
      </c>
      <c r="D143" s="2">
        <f>Raw_Data!F143</f>
        <v>140062</v>
      </c>
      <c r="E143" s="2" t="str">
        <f>Raw_Data!H143</f>
        <v>YEARLY</v>
      </c>
      <c r="F143" s="2">
        <f>Raw_Data!I143</f>
        <v>12</v>
      </c>
      <c r="G143" s="13">
        <f>D143*INDEX(Multiplier_Lookup!$C$6:$C$9,MATCH(E143,Multiplier_Lookup!$B$6:$B$9,0))</f>
        <v>140062</v>
      </c>
      <c r="H143" s="2" t="str">
        <f t="shared" si="2"/>
        <v>Tesla|Technical Program Manager</v>
      </c>
    </row>
    <row r="144" spans="1:8" x14ac:dyDescent="0.35">
      <c r="A144" s="2" t="str">
        <f>Raw_Data!A144</f>
        <v>Tesla</v>
      </c>
      <c r="B144" s="2" t="str">
        <f>Raw_Data!C144</f>
        <v>Software Development</v>
      </c>
      <c r="C144" s="2" t="str">
        <f>Raw_Data!D144</f>
        <v>Senior Software Engineer</v>
      </c>
      <c r="D144" s="2">
        <f>Raw_Data!F144</f>
        <v>182045</v>
      </c>
      <c r="E144" s="2" t="str">
        <f>Raw_Data!H144</f>
        <v>YEARLY</v>
      </c>
      <c r="F144" s="2">
        <f>Raw_Data!I144</f>
        <v>38</v>
      </c>
      <c r="G144" s="13">
        <f>D144*INDEX(Multiplier_Lookup!$C$6:$C$9,MATCH(E144,Multiplier_Lookup!$B$6:$B$9,0))</f>
        <v>182045</v>
      </c>
      <c r="H144" s="2" t="str">
        <f t="shared" si="2"/>
        <v>Tesla|Senior Software Engineer</v>
      </c>
    </row>
    <row r="145" spans="1:8" x14ac:dyDescent="0.35">
      <c r="A145" s="2" t="str">
        <f>Raw_Data!A145</f>
        <v>Tesla</v>
      </c>
      <c r="B145" s="2" t="str">
        <f>Raw_Data!C145</f>
        <v>Software Development</v>
      </c>
      <c r="C145" s="2" t="str">
        <f>Raw_Data!D145</f>
        <v>Software Engineer Intern</v>
      </c>
      <c r="D145" s="2">
        <f>Raw_Data!F145</f>
        <v>49.07</v>
      </c>
      <c r="E145" s="2" t="str">
        <f>Raw_Data!H145</f>
        <v>HOURLY</v>
      </c>
      <c r="F145" s="2">
        <f>Raw_Data!I145</f>
        <v>14</v>
      </c>
      <c r="G145" s="13">
        <f>D145*INDEX(Multiplier_Lookup!$C$6:$C$9,MATCH(E145,Multiplier_Lookup!$B$6:$B$9,0))</f>
        <v>102065.60000000001</v>
      </c>
      <c r="H145" s="2" t="str">
        <f t="shared" si="2"/>
        <v>Tesla|Software Engineer Intern</v>
      </c>
    </row>
    <row r="146" spans="1:8" x14ac:dyDescent="0.35">
      <c r="A146" s="2" t="str">
        <f>Raw_Data!A146</f>
        <v>Tesla</v>
      </c>
      <c r="B146" s="2" t="str">
        <f>Raw_Data!C146</f>
        <v>Software Development</v>
      </c>
      <c r="C146" s="2" t="str">
        <f>Raw_Data!D146</f>
        <v>Data Engineer</v>
      </c>
      <c r="D146" s="2">
        <f>Raw_Data!F146</f>
        <v>114333</v>
      </c>
      <c r="E146" s="2" t="str">
        <f>Raw_Data!H146</f>
        <v>YEARLY</v>
      </c>
      <c r="F146" s="2">
        <f>Raw_Data!I146</f>
        <v>5</v>
      </c>
      <c r="G146" s="13">
        <f>D146*INDEX(Multiplier_Lookup!$C$6:$C$9,MATCH(E146,Multiplier_Lookup!$B$6:$B$9,0))</f>
        <v>114333</v>
      </c>
      <c r="H146" s="2" t="str">
        <f t="shared" si="2"/>
        <v>Tesla|Data Engineer</v>
      </c>
    </row>
    <row r="147" spans="1:8" x14ac:dyDescent="0.35">
      <c r="A147" s="2" t="str">
        <f>Raw_Data!A147</f>
        <v>Tesla</v>
      </c>
      <c r="B147" s="2" t="str">
        <f>Raw_Data!C147</f>
        <v>Software Development</v>
      </c>
      <c r="C147" s="2" t="str">
        <f>Raw_Data!D147</f>
        <v>Product Manager</v>
      </c>
      <c r="D147" s="2">
        <f>Raw_Data!F147</f>
        <v>123785</v>
      </c>
      <c r="E147" s="2" t="str">
        <f>Raw_Data!H147</f>
        <v>YEARLY</v>
      </c>
      <c r="F147" s="2">
        <f>Raw_Data!I147</f>
        <v>5</v>
      </c>
      <c r="G147" s="13">
        <f>D147*INDEX(Multiplier_Lookup!$C$6:$C$9,MATCH(E147,Multiplier_Lookup!$B$6:$B$9,0))</f>
        <v>123785</v>
      </c>
      <c r="H147" s="2" t="str">
        <f t="shared" si="2"/>
        <v>Tesla|Product Manager</v>
      </c>
    </row>
    <row r="148" spans="1:8" x14ac:dyDescent="0.35">
      <c r="A148" s="2" t="str">
        <f>Raw_Data!A148</f>
        <v>Tesla</v>
      </c>
      <c r="B148" s="2" t="str">
        <f>Raw_Data!C148</f>
        <v>Software Development</v>
      </c>
      <c r="C148" s="2" t="str">
        <f>Raw_Data!D148</f>
        <v>Staff Software Engineer</v>
      </c>
      <c r="D148" s="2">
        <f>Raw_Data!F148</f>
        <v>226707</v>
      </c>
      <c r="E148" s="2" t="str">
        <f>Raw_Data!H148</f>
        <v>YEARLY</v>
      </c>
      <c r="F148" s="2">
        <f>Raw_Data!I148</f>
        <v>6</v>
      </c>
      <c r="G148" s="13">
        <f>D148*INDEX(Multiplier_Lookup!$C$6:$C$9,MATCH(E148,Multiplier_Lookup!$B$6:$B$9,0))</f>
        <v>226707</v>
      </c>
      <c r="H148" s="2" t="str">
        <f t="shared" si="2"/>
        <v>Tesla|Staff Software Engineer</v>
      </c>
    </row>
    <row r="149" spans="1:8" x14ac:dyDescent="0.35">
      <c r="A149" s="2" t="str">
        <f>Raw_Data!A149</f>
        <v>Tesla</v>
      </c>
      <c r="B149" s="2" t="str">
        <f>Raw_Data!C149</f>
        <v>Software Development</v>
      </c>
      <c r="C149" s="2" t="str">
        <f>Raw_Data!D149</f>
        <v>Firmware Engineer</v>
      </c>
      <c r="D149" s="2">
        <f>Raw_Data!F149</f>
        <v>179918</v>
      </c>
      <c r="E149" s="2" t="str">
        <f>Raw_Data!H149</f>
        <v>YEARLY</v>
      </c>
      <c r="F149" s="2">
        <f>Raw_Data!I149</f>
        <v>5</v>
      </c>
      <c r="G149" s="13">
        <f>D149*INDEX(Multiplier_Lookup!$C$6:$C$9,MATCH(E149,Multiplier_Lookup!$B$6:$B$9,0))</f>
        <v>179918</v>
      </c>
      <c r="H149" s="2" t="str">
        <f t="shared" si="2"/>
        <v>Tesla|Firmware Engineer</v>
      </c>
    </row>
    <row r="150" spans="1:8" x14ac:dyDescent="0.35">
      <c r="A150" s="2" t="str">
        <f>Raw_Data!A150</f>
        <v>Tesla</v>
      </c>
      <c r="B150" s="2" t="str">
        <f>Raw_Data!C150</f>
        <v>Software Development</v>
      </c>
      <c r="C150" s="2" t="str">
        <f>Raw_Data!D150</f>
        <v>Software Integration Engineer</v>
      </c>
      <c r="D150" s="2">
        <f>Raw_Data!F150</f>
        <v>152904</v>
      </c>
      <c r="E150" s="2" t="str">
        <f>Raw_Data!H150</f>
        <v>YEARLY</v>
      </c>
      <c r="F150" s="2">
        <f>Raw_Data!I150</f>
        <v>11</v>
      </c>
      <c r="G150" s="13">
        <f>D150*INDEX(Multiplier_Lookup!$C$6:$C$9,MATCH(E150,Multiplier_Lookup!$B$6:$B$9,0))</f>
        <v>152904</v>
      </c>
      <c r="H150" s="2" t="str">
        <f t="shared" si="2"/>
        <v>Tesla|Software Integration Engineer</v>
      </c>
    </row>
    <row r="151" spans="1:8" x14ac:dyDescent="0.35">
      <c r="A151" s="2" t="str">
        <f>Raw_Data!A151</f>
        <v>Tesla</v>
      </c>
      <c r="B151" s="2" t="str">
        <f>Raw_Data!C151</f>
        <v>Software Development</v>
      </c>
      <c r="C151" s="2" t="str">
        <f>Raw_Data!D151</f>
        <v>Senior Product Manager</v>
      </c>
      <c r="D151" s="2">
        <f>Raw_Data!F151</f>
        <v>153537</v>
      </c>
      <c r="E151" s="2" t="str">
        <f>Raw_Data!H151</f>
        <v>YEARLY</v>
      </c>
      <c r="F151" s="2">
        <f>Raw_Data!I151</f>
        <v>7</v>
      </c>
      <c r="G151" s="13">
        <f>D151*INDEX(Multiplier_Lookup!$C$6:$C$9,MATCH(E151,Multiplier_Lookup!$B$6:$B$9,0))</f>
        <v>153537</v>
      </c>
      <c r="H151" s="2" t="str">
        <f t="shared" si="2"/>
        <v>Tesla|Senior Product Manager</v>
      </c>
    </row>
    <row r="152" spans="1:8" x14ac:dyDescent="0.35">
      <c r="A152" s="2" t="str">
        <f>Raw_Data!A152</f>
        <v>Bank of America</v>
      </c>
      <c r="B152" s="2" t="str">
        <f>Raw_Data!C152</f>
        <v>Software Development</v>
      </c>
      <c r="C152" s="2" t="str">
        <f>Raw_Data!D152</f>
        <v>Software Engineer</v>
      </c>
      <c r="D152" s="2">
        <f>Raw_Data!F152</f>
        <v>102813</v>
      </c>
      <c r="E152" s="2" t="str">
        <f>Raw_Data!H152</f>
        <v>YEARLY</v>
      </c>
      <c r="F152" s="2">
        <f>Raw_Data!I152</f>
        <v>21</v>
      </c>
      <c r="G152" s="13">
        <f>D152*INDEX(Multiplier_Lookup!$C$6:$C$9,MATCH(E152,Multiplier_Lookup!$B$6:$B$9,0))</f>
        <v>102813</v>
      </c>
      <c r="H152" s="2" t="str">
        <f t="shared" si="2"/>
        <v>Bank of America|Software Engineer</v>
      </c>
    </row>
    <row r="153" spans="1:8" x14ac:dyDescent="0.35">
      <c r="A153" s="2" t="str">
        <f>Raw_Data!A153</f>
        <v>Bank of America</v>
      </c>
      <c r="B153" s="2" t="str">
        <f>Raw_Data!C153</f>
        <v>Software Development</v>
      </c>
      <c r="C153" s="2" t="str">
        <f>Raw_Data!D153</f>
        <v>Senior Software Engineer</v>
      </c>
      <c r="D153" s="2">
        <f>Raw_Data!F153</f>
        <v>126602</v>
      </c>
      <c r="E153" s="2" t="str">
        <f>Raw_Data!H153</f>
        <v>YEARLY</v>
      </c>
      <c r="F153" s="2">
        <f>Raw_Data!I153</f>
        <v>29</v>
      </c>
      <c r="G153" s="13">
        <f>D153*INDEX(Multiplier_Lookup!$C$6:$C$9,MATCH(E153,Multiplier_Lookup!$B$6:$B$9,0))</f>
        <v>126602</v>
      </c>
      <c r="H153" s="2" t="str">
        <f t="shared" si="2"/>
        <v>Bank of America|Senior Software Engineer</v>
      </c>
    </row>
    <row r="154" spans="1:8" x14ac:dyDescent="0.35">
      <c r="A154" s="2" t="str">
        <f>Raw_Data!A154</f>
        <v>Bank of America</v>
      </c>
      <c r="B154" s="2" t="str">
        <f>Raw_Data!C154</f>
        <v>Software Development</v>
      </c>
      <c r="C154" s="2" t="str">
        <f>Raw_Data!D154</f>
        <v>Scrum Master</v>
      </c>
      <c r="D154" s="2">
        <f>Raw_Data!F154</f>
        <v>118317</v>
      </c>
      <c r="E154" s="2" t="str">
        <f>Raw_Data!H154</f>
        <v>YEARLY</v>
      </c>
      <c r="F154" s="2">
        <f>Raw_Data!I154</f>
        <v>5</v>
      </c>
      <c r="G154" s="13">
        <f>D154*INDEX(Multiplier_Lookup!$C$6:$C$9,MATCH(E154,Multiplier_Lookup!$B$6:$B$9,0))</f>
        <v>118317</v>
      </c>
      <c r="H154" s="2" t="str">
        <f t="shared" si="2"/>
        <v>Bank of America|Scrum Master</v>
      </c>
    </row>
    <row r="155" spans="1:8" x14ac:dyDescent="0.35">
      <c r="A155" s="2" t="str">
        <f>Raw_Data!A155</f>
        <v>Bank of America</v>
      </c>
      <c r="B155" s="2" t="str">
        <f>Raw_Data!C155</f>
        <v>Software Development</v>
      </c>
      <c r="C155" s="2" t="str">
        <f>Raw_Data!D155</f>
        <v>Product Manager</v>
      </c>
      <c r="D155" s="2">
        <f>Raw_Data!F155</f>
        <v>126320</v>
      </c>
      <c r="E155" s="2" t="str">
        <f>Raw_Data!H155</f>
        <v>YEARLY</v>
      </c>
      <c r="F155" s="2">
        <f>Raw_Data!I155</f>
        <v>8</v>
      </c>
      <c r="G155" s="13">
        <f>D155*INDEX(Multiplier_Lookup!$C$6:$C$9,MATCH(E155,Multiplier_Lookup!$B$6:$B$9,0))</f>
        <v>126320</v>
      </c>
      <c r="H155" s="2" t="str">
        <f t="shared" si="2"/>
        <v>Bank of America|Product Manager</v>
      </c>
    </row>
    <row r="156" spans="1:8" x14ac:dyDescent="0.35">
      <c r="A156" s="2" t="str">
        <f>Raw_Data!A156</f>
        <v>Bank of America</v>
      </c>
      <c r="B156" s="2" t="str">
        <f>Raw_Data!C156</f>
        <v>Software Development</v>
      </c>
      <c r="C156" s="2" t="str">
        <f>Raw_Data!D156</f>
        <v>Data Engineer</v>
      </c>
      <c r="D156" s="2">
        <f>Raw_Data!F156</f>
        <v>112283</v>
      </c>
      <c r="E156" s="2" t="str">
        <f>Raw_Data!H156</f>
        <v>YEARLY</v>
      </c>
      <c r="F156" s="2">
        <f>Raw_Data!I156</f>
        <v>16</v>
      </c>
      <c r="G156" s="13">
        <f>D156*INDEX(Multiplier_Lookup!$C$6:$C$9,MATCH(E156,Multiplier_Lookup!$B$6:$B$9,0))</f>
        <v>112283</v>
      </c>
      <c r="H156" s="2" t="str">
        <f t="shared" si="2"/>
        <v>Bank of America|Data Engineer</v>
      </c>
    </row>
    <row r="157" spans="1:8" x14ac:dyDescent="0.35">
      <c r="A157" s="2" t="str">
        <f>Raw_Data!A157</f>
        <v>Bank of America</v>
      </c>
      <c r="B157" s="2" t="str">
        <f>Raw_Data!C157</f>
        <v>Software Development</v>
      </c>
      <c r="C157" s="2" t="str">
        <f>Raw_Data!D157</f>
        <v>Product Owner</v>
      </c>
      <c r="D157" s="2">
        <f>Raw_Data!F157</f>
        <v>124726</v>
      </c>
      <c r="E157" s="2" t="str">
        <f>Raw_Data!H157</f>
        <v>YEARLY</v>
      </c>
      <c r="F157" s="2">
        <f>Raw_Data!I157</f>
        <v>8</v>
      </c>
      <c r="G157" s="13">
        <f>D157*INDEX(Multiplier_Lookup!$C$6:$C$9,MATCH(E157,Multiplier_Lookup!$B$6:$B$9,0))</f>
        <v>124726</v>
      </c>
      <c r="H157" s="2" t="str">
        <f t="shared" si="2"/>
        <v>Bank of America|Product Owner</v>
      </c>
    </row>
    <row r="158" spans="1:8" x14ac:dyDescent="0.35">
      <c r="A158" s="2" t="str">
        <f>Raw_Data!A158</f>
        <v>Bank of America</v>
      </c>
      <c r="B158" s="2" t="str">
        <f>Raw_Data!C158</f>
        <v>Software Development</v>
      </c>
      <c r="C158" s="2" t="str">
        <f>Raw_Data!D158</f>
        <v>Software Engineer Intern</v>
      </c>
      <c r="D158" s="2">
        <f>Raw_Data!F158</f>
        <v>37.270000000000003</v>
      </c>
      <c r="E158" s="2" t="str">
        <f>Raw_Data!H158</f>
        <v>HOURLY</v>
      </c>
      <c r="F158" s="2">
        <f>Raw_Data!I158</f>
        <v>5</v>
      </c>
      <c r="G158" s="13">
        <f>D158*INDEX(Multiplier_Lookup!$C$6:$C$9,MATCH(E158,Multiplier_Lookup!$B$6:$B$9,0))</f>
        <v>77521.600000000006</v>
      </c>
      <c r="H158" s="2" t="str">
        <f t="shared" si="2"/>
        <v>Bank of America|Software Engineer Intern</v>
      </c>
    </row>
    <row r="159" spans="1:8" x14ac:dyDescent="0.35">
      <c r="A159" s="2" t="str">
        <f>Raw_Data!A159</f>
        <v>Bank of America</v>
      </c>
      <c r="B159" s="2" t="str">
        <f>Raw_Data!C159</f>
        <v>Software Development</v>
      </c>
      <c r="C159" s="2" t="str">
        <f>Raw_Data!D159</f>
        <v>Release Engineer</v>
      </c>
      <c r="D159" s="2">
        <f>Raw_Data!F159</f>
        <v>139919</v>
      </c>
      <c r="E159" s="2" t="str">
        <f>Raw_Data!H159</f>
        <v>YEARLY</v>
      </c>
      <c r="F159" s="2">
        <f>Raw_Data!I159</f>
        <v>5</v>
      </c>
      <c r="G159" s="13">
        <f>D159*INDEX(Multiplier_Lookup!$C$6:$C$9,MATCH(E159,Multiplier_Lookup!$B$6:$B$9,0))</f>
        <v>139919</v>
      </c>
      <c r="H159" s="2" t="str">
        <f t="shared" si="2"/>
        <v>Bank of America|Release Engineer</v>
      </c>
    </row>
    <row r="160" spans="1:8" x14ac:dyDescent="0.35">
      <c r="A160" s="2" t="str">
        <f>Raw_Data!A160</f>
        <v>Bank of America</v>
      </c>
      <c r="B160" s="2" t="str">
        <f>Raw_Data!C160</f>
        <v>Software Development</v>
      </c>
      <c r="C160" s="2" t="str">
        <f>Raw_Data!D160</f>
        <v>Programmer Analyst</v>
      </c>
      <c r="D160" s="2">
        <f>Raw_Data!F160</f>
        <v>86408</v>
      </c>
      <c r="E160" s="2" t="str">
        <f>Raw_Data!H160</f>
        <v>YEARLY</v>
      </c>
      <c r="F160" s="2">
        <f>Raw_Data!I160</f>
        <v>13</v>
      </c>
      <c r="G160" s="13">
        <f>D160*INDEX(Multiplier_Lookup!$C$6:$C$9,MATCH(E160,Multiplier_Lookup!$B$6:$B$9,0))</f>
        <v>86408</v>
      </c>
      <c r="H160" s="2" t="str">
        <f t="shared" si="2"/>
        <v>Bank of America|Programmer Analyst</v>
      </c>
    </row>
    <row r="161" spans="1:8" x14ac:dyDescent="0.35">
      <c r="A161" s="2" t="str">
        <f>Raw_Data!A161</f>
        <v>Bank of America</v>
      </c>
      <c r="B161" s="2" t="str">
        <f>Raw_Data!C161</f>
        <v>Software Development</v>
      </c>
      <c r="C161" s="2" t="str">
        <f>Raw_Data!D161</f>
        <v>Technology Lead</v>
      </c>
      <c r="D161" s="2">
        <f>Raw_Data!F161</f>
        <v>141232</v>
      </c>
      <c r="E161" s="2" t="str">
        <f>Raw_Data!H161</f>
        <v>YEARLY</v>
      </c>
      <c r="F161" s="2">
        <f>Raw_Data!I161</f>
        <v>9</v>
      </c>
      <c r="G161" s="13">
        <f>D161*INDEX(Multiplier_Lookup!$C$6:$C$9,MATCH(E161,Multiplier_Lookup!$B$6:$B$9,0))</f>
        <v>141232</v>
      </c>
      <c r="H161" s="2" t="str">
        <f t="shared" si="2"/>
        <v>Bank of America|Technology Lead</v>
      </c>
    </row>
    <row r="162" spans="1:8" x14ac:dyDescent="0.35">
      <c r="A162" s="2" t="str">
        <f>Raw_Data!A162</f>
        <v>Wells Fargo</v>
      </c>
      <c r="B162" s="2" t="str">
        <f>Raw_Data!C162</f>
        <v>Software Development</v>
      </c>
      <c r="C162" s="2" t="str">
        <f>Raw_Data!D162</f>
        <v>Software Engineer</v>
      </c>
      <c r="D162" s="2">
        <f>Raw_Data!F162</f>
        <v>119723</v>
      </c>
      <c r="E162" s="2" t="str">
        <f>Raw_Data!H162</f>
        <v>YEARLY</v>
      </c>
      <c r="F162" s="2">
        <f>Raw_Data!I162</f>
        <v>67</v>
      </c>
      <c r="G162" s="13">
        <f>D162*INDEX(Multiplier_Lookup!$C$6:$C$9,MATCH(E162,Multiplier_Lookup!$B$6:$B$9,0))</f>
        <v>119723</v>
      </c>
      <c r="H162" s="2" t="str">
        <f t="shared" si="2"/>
        <v>Wells Fargo|Software Engineer</v>
      </c>
    </row>
    <row r="163" spans="1:8" x14ac:dyDescent="0.35">
      <c r="A163" s="2" t="str">
        <f>Raw_Data!A163</f>
        <v>Wells Fargo</v>
      </c>
      <c r="B163" s="2" t="str">
        <f>Raw_Data!C163</f>
        <v>Software Development</v>
      </c>
      <c r="C163" s="2" t="str">
        <f>Raw_Data!D163</f>
        <v>Senior Software Engineer</v>
      </c>
      <c r="D163" s="2">
        <f>Raw_Data!F163</f>
        <v>123758</v>
      </c>
      <c r="E163" s="2" t="str">
        <f>Raw_Data!H163</f>
        <v>YEARLY</v>
      </c>
      <c r="F163" s="2">
        <f>Raw_Data!I163</f>
        <v>18</v>
      </c>
      <c r="G163" s="13">
        <f>D163*INDEX(Multiplier_Lookup!$C$6:$C$9,MATCH(E163,Multiplier_Lookup!$B$6:$B$9,0))</f>
        <v>123758</v>
      </c>
      <c r="H163" s="2" t="str">
        <f t="shared" si="2"/>
        <v>Wells Fargo|Senior Software Engineer</v>
      </c>
    </row>
    <row r="164" spans="1:8" x14ac:dyDescent="0.35">
      <c r="A164" s="2" t="str">
        <f>Raw_Data!A164</f>
        <v>Wells Fargo</v>
      </c>
      <c r="B164" s="2" t="str">
        <f>Raw_Data!C164</f>
        <v>Software Development</v>
      </c>
      <c r="C164" s="2" t="str">
        <f>Raw_Data!D164</f>
        <v>Product Manager</v>
      </c>
      <c r="D164" s="2">
        <f>Raw_Data!F164</f>
        <v>129301</v>
      </c>
      <c r="E164" s="2" t="str">
        <f>Raw_Data!H164</f>
        <v>YEARLY</v>
      </c>
      <c r="F164" s="2">
        <f>Raw_Data!I164</f>
        <v>9</v>
      </c>
      <c r="G164" s="13">
        <f>D164*INDEX(Multiplier_Lookup!$C$6:$C$9,MATCH(E164,Multiplier_Lookup!$B$6:$B$9,0))</f>
        <v>129301</v>
      </c>
      <c r="H164" s="2" t="str">
        <f t="shared" si="2"/>
        <v>Wells Fargo|Product Manager</v>
      </c>
    </row>
    <row r="165" spans="1:8" x14ac:dyDescent="0.35">
      <c r="A165" s="2" t="str">
        <f>Raw_Data!A165</f>
        <v>Wells Fargo</v>
      </c>
      <c r="B165" s="2" t="str">
        <f>Raw_Data!C165</f>
        <v>Software Development</v>
      </c>
      <c r="C165" s="2" t="str">
        <f>Raw_Data!D165</f>
        <v>Infrastructure Engineer</v>
      </c>
      <c r="D165" s="2">
        <f>Raw_Data!F165</f>
        <v>123985</v>
      </c>
      <c r="E165" s="2" t="str">
        <f>Raw_Data!H165</f>
        <v>YEARLY</v>
      </c>
      <c r="F165" s="2">
        <f>Raw_Data!I165</f>
        <v>7</v>
      </c>
      <c r="G165" s="13">
        <f>D165*INDEX(Multiplier_Lookup!$C$6:$C$9,MATCH(E165,Multiplier_Lookup!$B$6:$B$9,0))</f>
        <v>123985</v>
      </c>
      <c r="H165" s="2" t="str">
        <f t="shared" si="2"/>
        <v>Wells Fargo|Infrastructure Engineer</v>
      </c>
    </row>
    <row r="166" spans="1:8" x14ac:dyDescent="0.35">
      <c r="A166" s="2" t="str">
        <f>Raw_Data!A166</f>
        <v>Wells Fargo</v>
      </c>
      <c r="B166" s="2" t="str">
        <f>Raw_Data!C166</f>
        <v>Software Development</v>
      </c>
      <c r="C166" s="2" t="str">
        <f>Raw_Data!D166</f>
        <v>Senior Product Manager</v>
      </c>
      <c r="D166" s="2">
        <f>Raw_Data!F166</f>
        <v>152720</v>
      </c>
      <c r="E166" s="2" t="str">
        <f>Raw_Data!H166</f>
        <v>YEARLY</v>
      </c>
      <c r="F166" s="2">
        <f>Raw_Data!I166</f>
        <v>7</v>
      </c>
      <c r="G166" s="13">
        <f>D166*INDEX(Multiplier_Lookup!$C$6:$C$9,MATCH(E166,Multiplier_Lookup!$B$6:$B$9,0))</f>
        <v>152720</v>
      </c>
      <c r="H166" s="2" t="str">
        <f t="shared" si="2"/>
        <v>Wells Fargo|Senior Product Manager</v>
      </c>
    </row>
    <row r="167" spans="1:8" x14ac:dyDescent="0.35">
      <c r="A167" s="2" t="str">
        <f>Raw_Data!A167</f>
        <v>Wells Fargo</v>
      </c>
      <c r="B167" s="2" t="str">
        <f>Raw_Data!C167</f>
        <v>Software Development</v>
      </c>
      <c r="C167" s="2" t="str">
        <f>Raw_Data!D167</f>
        <v>Data Engineer</v>
      </c>
      <c r="D167" s="2">
        <f>Raw_Data!F167</f>
        <v>123703</v>
      </c>
      <c r="E167" s="2" t="str">
        <f>Raw_Data!H167</f>
        <v>YEARLY</v>
      </c>
      <c r="F167" s="2">
        <f>Raw_Data!I167</f>
        <v>15</v>
      </c>
      <c r="G167" s="13">
        <f>D167*INDEX(Multiplier_Lookup!$C$6:$C$9,MATCH(E167,Multiplier_Lookup!$B$6:$B$9,0))</f>
        <v>123703</v>
      </c>
      <c r="H167" s="2" t="str">
        <f t="shared" si="2"/>
        <v>Wells Fargo|Data Engineer</v>
      </c>
    </row>
    <row r="168" spans="1:8" x14ac:dyDescent="0.35">
      <c r="A168" s="2" t="str">
        <f>Raw_Data!A168</f>
        <v>Wells Fargo</v>
      </c>
      <c r="B168" s="2" t="str">
        <f>Raw_Data!C168</f>
        <v>Software Development</v>
      </c>
      <c r="C168" s="2" t="str">
        <f>Raw_Data!D168</f>
        <v>Lead Product Manager</v>
      </c>
      <c r="D168" s="2">
        <f>Raw_Data!F168</f>
        <v>186216</v>
      </c>
      <c r="E168" s="2" t="str">
        <f>Raw_Data!H168</f>
        <v>YEARLY</v>
      </c>
      <c r="F168" s="2">
        <f>Raw_Data!I168</f>
        <v>5</v>
      </c>
      <c r="G168" s="13">
        <f>D168*INDEX(Multiplier_Lookup!$C$6:$C$9,MATCH(E168,Multiplier_Lookup!$B$6:$B$9,0))</f>
        <v>186216</v>
      </c>
      <c r="H168" s="2" t="str">
        <f t="shared" si="2"/>
        <v>Wells Fargo|Lead Product Manager</v>
      </c>
    </row>
    <row r="169" spans="1:8" x14ac:dyDescent="0.35">
      <c r="A169" s="2" t="str">
        <f>Raw_Data!A169</f>
        <v>Wells Fargo</v>
      </c>
      <c r="B169" s="2" t="str">
        <f>Raw_Data!C169</f>
        <v>Software Development</v>
      </c>
      <c r="C169" s="2" t="str">
        <f>Raw_Data!D169</f>
        <v>Scrum Master</v>
      </c>
      <c r="D169" s="2">
        <f>Raw_Data!F169</f>
        <v>111022</v>
      </c>
      <c r="E169" s="2" t="str">
        <f>Raw_Data!H169</f>
        <v>YEARLY</v>
      </c>
      <c r="F169" s="2">
        <f>Raw_Data!I169</f>
        <v>19</v>
      </c>
      <c r="G169" s="13">
        <f>D169*INDEX(Multiplier_Lookup!$C$6:$C$9,MATCH(E169,Multiplier_Lookup!$B$6:$B$9,0))</f>
        <v>111022</v>
      </c>
      <c r="H169" s="2" t="str">
        <f t="shared" si="2"/>
        <v>Wells Fargo|Scrum Master</v>
      </c>
    </row>
    <row r="170" spans="1:8" x14ac:dyDescent="0.35">
      <c r="A170" s="2" t="str">
        <f>Raw_Data!A170</f>
        <v>Wells Fargo</v>
      </c>
      <c r="B170" s="2" t="str">
        <f>Raw_Data!C170</f>
        <v>Software Development</v>
      </c>
      <c r="C170" s="2" t="str">
        <f>Raw_Data!D170</f>
        <v>Senior Scrum Master</v>
      </c>
      <c r="D170" s="2">
        <f>Raw_Data!F170</f>
        <v>122756</v>
      </c>
      <c r="E170" s="2" t="str">
        <f>Raw_Data!H170</f>
        <v>YEARLY</v>
      </c>
      <c r="F170" s="2">
        <f>Raw_Data!I170</f>
        <v>9</v>
      </c>
      <c r="G170" s="13">
        <f>D170*INDEX(Multiplier_Lookup!$C$6:$C$9,MATCH(E170,Multiplier_Lookup!$B$6:$B$9,0))</f>
        <v>122756</v>
      </c>
      <c r="H170" s="2" t="str">
        <f t="shared" si="2"/>
        <v>Wells Fargo|Senior Scrum Master</v>
      </c>
    </row>
    <row r="171" spans="1:8" x14ac:dyDescent="0.35">
      <c r="A171" s="2" t="str">
        <f>Raw_Data!A171</f>
        <v>Wells Fargo</v>
      </c>
      <c r="B171" s="2" t="str">
        <f>Raw_Data!C171</f>
        <v>Software Development</v>
      </c>
      <c r="C171" s="2" t="str">
        <f>Raw_Data!D171</f>
        <v>Software Engineer Intern</v>
      </c>
      <c r="D171" s="2">
        <f>Raw_Data!F171</f>
        <v>48</v>
      </c>
      <c r="E171" s="2" t="str">
        <f>Raw_Data!H171</f>
        <v>HOURLY</v>
      </c>
      <c r="F171" s="2">
        <f>Raw_Data!I171</f>
        <v>10</v>
      </c>
      <c r="G171" s="13">
        <f>D171*INDEX(Multiplier_Lookup!$C$6:$C$9,MATCH(E171,Multiplier_Lookup!$B$6:$B$9,0))</f>
        <v>99840</v>
      </c>
      <c r="H171" s="2" t="str">
        <f t="shared" si="2"/>
        <v>Wells Fargo|Software Engineer Intern</v>
      </c>
    </row>
    <row r="172" spans="1:8" x14ac:dyDescent="0.35">
      <c r="A172" s="2" t="str">
        <f>Raw_Data!A172</f>
        <v>JPMorganChase</v>
      </c>
      <c r="B172" s="2" t="str">
        <f>Raw_Data!C172</f>
        <v>Banking &amp; Finance</v>
      </c>
      <c r="C172" s="2" t="str">
        <f>Raw_Data!D172</f>
        <v>Relationship Banker</v>
      </c>
      <c r="D172" s="2">
        <f>Raw_Data!F172</f>
        <v>26.99</v>
      </c>
      <c r="E172" s="2" t="str">
        <f>Raw_Data!H172</f>
        <v>HOURLY</v>
      </c>
      <c r="F172" s="2">
        <f>Raw_Data!I172</f>
        <v>40</v>
      </c>
      <c r="G172" s="13">
        <f>D172*INDEX(Multiplier_Lookup!$C$6:$C$9,MATCH(E172,Multiplier_Lookup!$B$6:$B$9,0))</f>
        <v>56139.199999999997</v>
      </c>
      <c r="H172" s="2" t="str">
        <f t="shared" si="2"/>
        <v>JPMorganChase|Relationship Banker</v>
      </c>
    </row>
    <row r="173" spans="1:8" x14ac:dyDescent="0.35">
      <c r="A173" s="2" t="str">
        <f>Raw_Data!A173</f>
        <v>JPMorganChase</v>
      </c>
      <c r="B173" s="2" t="str">
        <f>Raw_Data!C173</f>
        <v>Banking &amp; Finance</v>
      </c>
      <c r="C173" s="2" t="str">
        <f>Raw_Data!D173</f>
        <v>Banker</v>
      </c>
      <c r="D173" s="2">
        <f>Raw_Data!F173</f>
        <v>25.03</v>
      </c>
      <c r="E173" s="2" t="str">
        <f>Raw_Data!H173</f>
        <v>HOURLY</v>
      </c>
      <c r="F173" s="2">
        <f>Raw_Data!I173</f>
        <v>63</v>
      </c>
      <c r="G173" s="13">
        <f>D173*INDEX(Multiplier_Lookup!$C$6:$C$9,MATCH(E173,Multiplier_Lookup!$B$6:$B$9,0))</f>
        <v>52062.400000000001</v>
      </c>
      <c r="H173" s="2" t="str">
        <f t="shared" si="2"/>
        <v>JPMorganChase|Banker</v>
      </c>
    </row>
    <row r="174" spans="1:8" x14ac:dyDescent="0.35">
      <c r="A174" s="2" t="str">
        <f>Raw_Data!A174</f>
        <v>JPMorganChase</v>
      </c>
      <c r="B174" s="2" t="str">
        <f>Raw_Data!C174</f>
        <v>Banking &amp; Finance</v>
      </c>
      <c r="C174" s="2" t="str">
        <f>Raw_Data!D174</f>
        <v>Private Banker</v>
      </c>
      <c r="D174" s="2">
        <f>Raw_Data!F174</f>
        <v>27.81</v>
      </c>
      <c r="E174" s="2" t="str">
        <f>Raw_Data!H174</f>
        <v>HOURLY</v>
      </c>
      <c r="F174" s="2">
        <f>Raw_Data!I174</f>
        <v>26</v>
      </c>
      <c r="G174" s="13">
        <f>D174*INDEX(Multiplier_Lookup!$C$6:$C$9,MATCH(E174,Multiplier_Lookup!$B$6:$B$9,0))</f>
        <v>57844.799999999996</v>
      </c>
      <c r="H174" s="2" t="str">
        <f t="shared" si="2"/>
        <v>JPMorganChase|Private Banker</v>
      </c>
    </row>
    <row r="175" spans="1:8" x14ac:dyDescent="0.35">
      <c r="A175" s="2" t="str">
        <f>Raw_Data!A175</f>
        <v>JPMorganChase</v>
      </c>
      <c r="B175" s="2" t="str">
        <f>Raw_Data!C175</f>
        <v>Banking &amp; Finance</v>
      </c>
      <c r="C175" s="2" t="str">
        <f>Raw_Data!D175</f>
        <v>Fraud Analyst</v>
      </c>
      <c r="D175" s="2">
        <f>Raw_Data!F175</f>
        <v>21.11</v>
      </c>
      <c r="E175" s="2" t="str">
        <f>Raw_Data!H175</f>
        <v>HOURLY</v>
      </c>
      <c r="F175" s="2">
        <f>Raw_Data!I175</f>
        <v>3</v>
      </c>
      <c r="G175" s="13">
        <f>D175*INDEX(Multiplier_Lookup!$C$6:$C$9,MATCH(E175,Multiplier_Lookup!$B$6:$B$9,0))</f>
        <v>43908.799999999996</v>
      </c>
      <c r="H175" s="2" t="str">
        <f t="shared" si="2"/>
        <v>JPMorganChase|Fraud Analyst</v>
      </c>
    </row>
    <row r="176" spans="1:8" x14ac:dyDescent="0.35">
      <c r="A176" s="2" t="str">
        <f>Raw_Data!A176</f>
        <v>JPMorganChase</v>
      </c>
      <c r="B176" s="2" t="str">
        <f>Raw_Data!C176</f>
        <v>Banking &amp; Finance</v>
      </c>
      <c r="C176" s="2" t="str">
        <f>Raw_Data!D176</f>
        <v>Investment Banking Analyst</v>
      </c>
      <c r="D176" s="2">
        <f>Raw_Data!F176</f>
        <v>132247</v>
      </c>
      <c r="E176" s="2" t="str">
        <f>Raw_Data!H176</f>
        <v>YEARLY</v>
      </c>
      <c r="F176" s="2">
        <f>Raw_Data!I176</f>
        <v>20</v>
      </c>
      <c r="G176" s="13">
        <f>D176*INDEX(Multiplier_Lookup!$C$6:$C$9,MATCH(E176,Multiplier_Lookup!$B$6:$B$9,0))</f>
        <v>132247</v>
      </c>
      <c r="H176" s="2" t="str">
        <f t="shared" si="2"/>
        <v>JPMorganChase|Investment Banking Analyst</v>
      </c>
    </row>
    <row r="177" spans="1:8" x14ac:dyDescent="0.35">
      <c r="A177" s="2" t="str">
        <f>Raw_Data!A177</f>
        <v>JPMorganChase</v>
      </c>
      <c r="B177" s="2" t="str">
        <f>Raw_Data!C177</f>
        <v>Banking &amp; Finance</v>
      </c>
      <c r="C177" s="2" t="str">
        <f>Raw_Data!D177</f>
        <v>Bank Clerk</v>
      </c>
      <c r="D177" s="2">
        <f>Raw_Data!F177</f>
        <v>20.28</v>
      </c>
      <c r="E177" s="2" t="str">
        <f>Raw_Data!H177</f>
        <v>HOURLY</v>
      </c>
      <c r="F177" s="2">
        <f>Raw_Data!I177</f>
        <v>10</v>
      </c>
      <c r="G177" s="13">
        <f>D177*INDEX(Multiplier_Lookup!$C$6:$C$9,MATCH(E177,Multiplier_Lookup!$B$6:$B$9,0))</f>
        <v>42182.400000000001</v>
      </c>
      <c r="H177" s="2" t="str">
        <f t="shared" si="2"/>
        <v>JPMorganChase|Bank Clerk</v>
      </c>
    </row>
    <row r="178" spans="1:8" x14ac:dyDescent="0.35">
      <c r="A178" s="2" t="str">
        <f>Raw_Data!A178</f>
        <v>JPMorganChase</v>
      </c>
      <c r="B178" s="2" t="str">
        <f>Raw_Data!C178</f>
        <v>Banking &amp; Finance</v>
      </c>
      <c r="C178" s="2" t="str">
        <f>Raw_Data!D178</f>
        <v>Risk Analyst</v>
      </c>
      <c r="D178" s="2">
        <f>Raw_Data!F178</f>
        <v>75476</v>
      </c>
      <c r="E178" s="2" t="str">
        <f>Raw_Data!H178</f>
        <v>YEARLY</v>
      </c>
      <c r="F178" s="2">
        <f>Raw_Data!I178</f>
        <v>8</v>
      </c>
      <c r="G178" s="13">
        <f>D178*INDEX(Multiplier_Lookup!$C$6:$C$9,MATCH(E178,Multiplier_Lookup!$B$6:$B$9,0))</f>
        <v>75476</v>
      </c>
      <c r="H178" s="2" t="str">
        <f t="shared" si="2"/>
        <v>JPMorganChase|Risk Analyst</v>
      </c>
    </row>
    <row r="179" spans="1:8" x14ac:dyDescent="0.35">
      <c r="A179" s="2" t="str">
        <f>Raw_Data!A179</f>
        <v>JPMorganChase</v>
      </c>
      <c r="B179" s="2" t="str">
        <f>Raw_Data!C179</f>
        <v>Banking &amp; Finance</v>
      </c>
      <c r="C179" s="2" t="str">
        <f>Raw_Data!D179</f>
        <v>Financial Advisor</v>
      </c>
      <c r="D179" s="2">
        <f>Raw_Data!F179</f>
        <v>72930</v>
      </c>
      <c r="E179" s="2" t="str">
        <f>Raw_Data!H179</f>
        <v>YEARLY</v>
      </c>
      <c r="F179" s="2">
        <f>Raw_Data!I179</f>
        <v>9</v>
      </c>
      <c r="G179" s="13">
        <f>D179*INDEX(Multiplier_Lookup!$C$6:$C$9,MATCH(E179,Multiplier_Lookup!$B$6:$B$9,0))</f>
        <v>72930</v>
      </c>
      <c r="H179" s="2" t="str">
        <f t="shared" si="2"/>
        <v>JPMorganChase|Financial Advisor</v>
      </c>
    </row>
    <row r="180" spans="1:8" x14ac:dyDescent="0.35">
      <c r="A180" s="2" t="str">
        <f>Raw_Data!A180</f>
        <v>JPMorganChase</v>
      </c>
      <c r="B180" s="2" t="str">
        <f>Raw_Data!C180</f>
        <v>Banking &amp; Finance</v>
      </c>
      <c r="C180" s="2" t="str">
        <f>Raw_Data!D180</f>
        <v>Anti Money Laundering Analyst</v>
      </c>
      <c r="D180" s="2">
        <f>Raw_Data!F180</f>
        <v>60417</v>
      </c>
      <c r="E180" s="2" t="str">
        <f>Raw_Data!H180</f>
        <v>YEARLY</v>
      </c>
      <c r="F180" s="2">
        <f>Raw_Data!I180</f>
        <v>20</v>
      </c>
      <c r="G180" s="13">
        <f>D180*INDEX(Multiplier_Lookup!$C$6:$C$9,MATCH(E180,Multiplier_Lookup!$B$6:$B$9,0))</f>
        <v>60417</v>
      </c>
      <c r="H180" s="2" t="str">
        <f t="shared" si="2"/>
        <v>JPMorganChase|Anti Money Laundering Analyst</v>
      </c>
    </row>
    <row r="181" spans="1:8" x14ac:dyDescent="0.35">
      <c r="A181" s="2" t="str">
        <f>Raw_Data!A181</f>
        <v>JPMorganChase</v>
      </c>
      <c r="B181" s="2" t="str">
        <f>Raw_Data!C181</f>
        <v>Banking &amp; Finance</v>
      </c>
      <c r="C181" s="2" t="str">
        <f>Raw_Data!D181</f>
        <v>Banking Associate</v>
      </c>
      <c r="D181" s="2">
        <f>Raw_Data!F181</f>
        <v>125400</v>
      </c>
      <c r="E181" s="2" t="str">
        <f>Raw_Data!H181</f>
        <v>YEARLY</v>
      </c>
      <c r="F181" s="2">
        <f>Raw_Data!I181</f>
        <v>16</v>
      </c>
      <c r="G181" s="13">
        <f>D181*INDEX(Multiplier_Lookup!$C$6:$C$9,MATCH(E181,Multiplier_Lookup!$B$6:$B$9,0))</f>
        <v>125400</v>
      </c>
      <c r="H181" s="2" t="str">
        <f t="shared" si="2"/>
        <v>JPMorganChase|Banking Associate</v>
      </c>
    </row>
    <row r="182" spans="1:8" x14ac:dyDescent="0.35">
      <c r="A182" s="2" t="str">
        <f>Raw_Data!A182</f>
        <v>PwC</v>
      </c>
      <c r="B182" s="2" t="str">
        <f>Raw_Data!C182</f>
        <v>Software Development</v>
      </c>
      <c r="C182" s="2" t="str">
        <f>Raw_Data!D182</f>
        <v>Software Architect</v>
      </c>
      <c r="D182" s="2">
        <f>Raw_Data!F182</f>
        <v>154255</v>
      </c>
      <c r="E182" s="2" t="str">
        <f>Raw_Data!H182</f>
        <v>YEARLY</v>
      </c>
      <c r="F182" s="2">
        <f>Raw_Data!I182</f>
        <v>57</v>
      </c>
      <c r="G182" s="13">
        <f>D182*INDEX(Multiplier_Lookup!$C$6:$C$9,MATCH(E182,Multiplier_Lookup!$B$6:$B$9,0))</f>
        <v>154255</v>
      </c>
      <c r="H182" s="2" t="str">
        <f t="shared" si="2"/>
        <v>PwC|Software Architect</v>
      </c>
    </row>
    <row r="183" spans="1:8" x14ac:dyDescent="0.35">
      <c r="A183" s="2" t="str">
        <f>Raw_Data!A183</f>
        <v>PwC</v>
      </c>
      <c r="B183" s="2" t="str">
        <f>Raw_Data!C183</f>
        <v>Software Development</v>
      </c>
      <c r="C183" s="2" t="str">
        <f>Raw_Data!D183</f>
        <v>Digital Assurance &amp; Transparency Associate</v>
      </c>
      <c r="D183" s="2">
        <f>Raw_Data!F183</f>
        <v>88527</v>
      </c>
      <c r="E183" s="2" t="str">
        <f>Raw_Data!H183</f>
        <v>YEARLY</v>
      </c>
      <c r="F183" s="2">
        <f>Raw_Data!I183</f>
        <v>6</v>
      </c>
      <c r="G183" s="13">
        <f>D183*INDEX(Multiplier_Lookup!$C$6:$C$9,MATCH(E183,Multiplier_Lookup!$B$6:$B$9,0))</f>
        <v>88527</v>
      </c>
      <c r="H183" s="2" t="str">
        <f t="shared" si="2"/>
        <v>PwC|Digital Assurance &amp; Transparency Associate</v>
      </c>
    </row>
    <row r="184" spans="1:8" x14ac:dyDescent="0.35">
      <c r="A184" s="2" t="str">
        <f>Raw_Data!A184</f>
        <v>PwC</v>
      </c>
      <c r="B184" s="2" t="str">
        <f>Raw_Data!C184</f>
        <v>Software Development</v>
      </c>
      <c r="C184" s="2" t="str">
        <f>Raw_Data!D184</f>
        <v>Cloud Consultant</v>
      </c>
      <c r="D184" s="2">
        <f>Raw_Data!F184</f>
        <v>157119</v>
      </c>
      <c r="E184" s="2" t="str">
        <f>Raw_Data!H184</f>
        <v>YEARLY</v>
      </c>
      <c r="F184" s="2">
        <f>Raw_Data!I184</f>
        <v>35</v>
      </c>
      <c r="G184" s="13">
        <f>D184*INDEX(Multiplier_Lookup!$C$6:$C$9,MATCH(E184,Multiplier_Lookup!$B$6:$B$9,0))</f>
        <v>157119</v>
      </c>
      <c r="H184" s="2" t="str">
        <f t="shared" si="2"/>
        <v>PwC|Cloud Consultant</v>
      </c>
    </row>
    <row r="185" spans="1:8" x14ac:dyDescent="0.35">
      <c r="A185" s="2" t="str">
        <f>Raw_Data!A185</f>
        <v>PwC</v>
      </c>
      <c r="B185" s="2" t="str">
        <f>Raw_Data!C185</f>
        <v>Software Development</v>
      </c>
      <c r="C185" s="2" t="str">
        <f>Raw_Data!D185</f>
        <v>Software Engineer</v>
      </c>
      <c r="D185" s="2">
        <f>Raw_Data!F185</f>
        <v>87250</v>
      </c>
      <c r="E185" s="2" t="str">
        <f>Raw_Data!H185</f>
        <v>YEARLY</v>
      </c>
      <c r="F185" s="2">
        <f>Raw_Data!I185</f>
        <v>24</v>
      </c>
      <c r="G185" s="13">
        <f>D185*INDEX(Multiplier_Lookup!$C$6:$C$9,MATCH(E185,Multiplier_Lookup!$B$6:$B$9,0))</f>
        <v>87250</v>
      </c>
      <c r="H185" s="2" t="str">
        <f t="shared" si="2"/>
        <v>PwC|Software Engineer</v>
      </c>
    </row>
    <row r="186" spans="1:8" x14ac:dyDescent="0.35">
      <c r="A186" s="2" t="str">
        <f>Raw_Data!A186</f>
        <v>PwC</v>
      </c>
      <c r="B186" s="2" t="str">
        <f>Raw_Data!C186</f>
        <v>Software Development</v>
      </c>
      <c r="C186" s="2" t="str">
        <f>Raw_Data!D186</f>
        <v>Digital Assurance &amp; Transparency Intern</v>
      </c>
      <c r="D186" s="2">
        <f>Raw_Data!F186</f>
        <v>33.590000000000003</v>
      </c>
      <c r="E186" s="2" t="str">
        <f>Raw_Data!H186</f>
        <v>HOURLY</v>
      </c>
      <c r="F186" s="2">
        <f>Raw_Data!I186</f>
        <v>8</v>
      </c>
      <c r="G186" s="13">
        <f>D186*INDEX(Multiplier_Lookup!$C$6:$C$9,MATCH(E186,Multiplier_Lookup!$B$6:$B$9,0))</f>
        <v>69867.200000000012</v>
      </c>
      <c r="H186" s="2" t="str">
        <f t="shared" si="2"/>
        <v>PwC|Digital Assurance &amp; Transparency Intern</v>
      </c>
    </row>
    <row r="187" spans="1:8" x14ac:dyDescent="0.35">
      <c r="A187" s="2" t="str">
        <f>Raw_Data!A187</f>
        <v>PwC</v>
      </c>
      <c r="B187" s="2" t="str">
        <f>Raw_Data!C187</f>
        <v>Software Development</v>
      </c>
      <c r="C187" s="2" t="str">
        <f>Raw_Data!D187</f>
        <v>Technical Lead</v>
      </c>
      <c r="D187" s="2">
        <f>Raw_Data!F187</f>
        <v>133605</v>
      </c>
      <c r="E187" s="2" t="str">
        <f>Raw_Data!H187</f>
        <v>YEARLY</v>
      </c>
      <c r="F187" s="2">
        <f>Raw_Data!I187</f>
        <v>19</v>
      </c>
      <c r="G187" s="13">
        <f>D187*INDEX(Multiplier_Lookup!$C$6:$C$9,MATCH(E187,Multiplier_Lookup!$B$6:$B$9,0))</f>
        <v>133605</v>
      </c>
      <c r="H187" s="2" t="str">
        <f t="shared" si="2"/>
        <v>PwC|Technical Lead</v>
      </c>
    </row>
    <row r="188" spans="1:8" x14ac:dyDescent="0.35">
      <c r="A188" s="2" t="str">
        <f>Raw_Data!A188</f>
        <v>PwC</v>
      </c>
      <c r="B188" s="2" t="str">
        <f>Raw_Data!C188</f>
        <v>Software Development</v>
      </c>
      <c r="C188" s="2" t="str">
        <f>Raw_Data!D188</f>
        <v>Senior Software Engineer</v>
      </c>
      <c r="D188" s="2">
        <f>Raw_Data!F188</f>
        <v>120744</v>
      </c>
      <c r="E188" s="2" t="str">
        <f>Raw_Data!H188</f>
        <v>YEARLY</v>
      </c>
      <c r="F188" s="2">
        <f>Raw_Data!I188</f>
        <v>14</v>
      </c>
      <c r="G188" s="13">
        <f>D188*INDEX(Multiplier_Lookup!$C$6:$C$9,MATCH(E188,Multiplier_Lookup!$B$6:$B$9,0))</f>
        <v>120744</v>
      </c>
      <c r="H188" s="2" t="str">
        <f t="shared" si="2"/>
        <v>PwC|Senior Software Engineer</v>
      </c>
    </row>
    <row r="189" spans="1:8" x14ac:dyDescent="0.35">
      <c r="A189" s="2" t="str">
        <f>Raw_Data!A189</f>
        <v>PwC</v>
      </c>
      <c r="B189" s="2" t="str">
        <f>Raw_Data!C189</f>
        <v>Software Development</v>
      </c>
      <c r="C189" s="2" t="str">
        <f>Raw_Data!D189</f>
        <v>Python Developer</v>
      </c>
      <c r="D189" s="2">
        <f>Raw_Data!F189</f>
        <v>94902</v>
      </c>
      <c r="E189" s="2" t="str">
        <f>Raw_Data!H189</f>
        <v>YEARLY</v>
      </c>
      <c r="F189" s="2">
        <f>Raw_Data!I189</f>
        <v>10</v>
      </c>
      <c r="G189" s="13">
        <f>D189*INDEX(Multiplier_Lookup!$C$6:$C$9,MATCH(E189,Multiplier_Lookup!$B$6:$B$9,0))</f>
        <v>94902</v>
      </c>
      <c r="H189" s="2" t="str">
        <f t="shared" si="2"/>
        <v>PwC|Python Developer</v>
      </c>
    </row>
    <row r="190" spans="1:8" x14ac:dyDescent="0.35">
      <c r="A190" s="2" t="str">
        <f>Raw_Data!A190</f>
        <v>PwC</v>
      </c>
      <c r="B190" s="2" t="str">
        <f>Raw_Data!C190</f>
        <v>Software Development</v>
      </c>
      <c r="C190" s="2" t="str">
        <f>Raw_Data!D190</f>
        <v>Solution Architect</v>
      </c>
      <c r="D190" s="2">
        <f>Raw_Data!F190</f>
        <v>150869</v>
      </c>
      <c r="E190" s="2" t="str">
        <f>Raw_Data!H190</f>
        <v>YEARLY</v>
      </c>
      <c r="F190" s="2">
        <f>Raw_Data!I190</f>
        <v>6</v>
      </c>
      <c r="G190" s="13">
        <f>D190*INDEX(Multiplier_Lookup!$C$6:$C$9,MATCH(E190,Multiplier_Lookup!$B$6:$B$9,0))</f>
        <v>150869</v>
      </c>
      <c r="H190" s="2" t="str">
        <f t="shared" si="2"/>
        <v>PwC|Solution Architect</v>
      </c>
    </row>
    <row r="191" spans="1:8" x14ac:dyDescent="0.35">
      <c r="A191" s="2" t="str">
        <f>Raw_Data!A191</f>
        <v>PwC</v>
      </c>
      <c r="B191" s="2" t="str">
        <f>Raw_Data!C191</f>
        <v>Software Development</v>
      </c>
      <c r="C191" s="2" t="str">
        <f>Raw_Data!D191</f>
        <v>Scrum Master</v>
      </c>
      <c r="D191" s="2">
        <f>Raw_Data!F191</f>
        <v>127307</v>
      </c>
      <c r="E191" s="2" t="str">
        <f>Raw_Data!H191</f>
        <v>YEARLY</v>
      </c>
      <c r="F191" s="2">
        <f>Raw_Data!I191</f>
        <v>5</v>
      </c>
      <c r="G191" s="13">
        <f>D191*INDEX(Multiplier_Lookup!$C$6:$C$9,MATCH(E191,Multiplier_Lookup!$B$6:$B$9,0))</f>
        <v>127307</v>
      </c>
      <c r="H191" s="2" t="str">
        <f t="shared" si="2"/>
        <v>PwC|Scrum Master</v>
      </c>
    </row>
    <row r="192" spans="1:8" x14ac:dyDescent="0.35">
      <c r="A192" s="2" t="str">
        <f>Raw_Data!A192</f>
        <v>EY</v>
      </c>
      <c r="B192" s="2" t="str">
        <f>Raw_Data!C192</f>
        <v>Information Design &amp; Documentation</v>
      </c>
      <c r="C192" s="2" t="str">
        <f>Raw_Data!D192</f>
        <v>Technology Consultant</v>
      </c>
      <c r="D192" s="2">
        <f>Raw_Data!F192</f>
        <v>196121</v>
      </c>
      <c r="E192" s="2" t="str">
        <f>Raw_Data!H192</f>
        <v>YEARLY</v>
      </c>
      <c r="F192" s="2">
        <f>Raw_Data!I192</f>
        <v>111</v>
      </c>
      <c r="G192" s="13">
        <f>D192*INDEX(Multiplier_Lookup!$C$6:$C$9,MATCH(E192,Multiplier_Lookup!$B$6:$B$9,0))</f>
        <v>196121</v>
      </c>
      <c r="H192" s="2" t="str">
        <f t="shared" si="2"/>
        <v>EY|Technology Consultant</v>
      </c>
    </row>
    <row r="193" spans="1:8" x14ac:dyDescent="0.35">
      <c r="A193" s="2" t="str">
        <f>Raw_Data!A193</f>
        <v>EY</v>
      </c>
      <c r="B193" s="2" t="str">
        <f>Raw_Data!C193</f>
        <v>Information Design &amp; Documentation</v>
      </c>
      <c r="C193" s="2" t="str">
        <f>Raw_Data!D193</f>
        <v>SAP Consultant</v>
      </c>
      <c r="D193" s="2">
        <f>Raw_Data!F193</f>
        <v>185025</v>
      </c>
      <c r="E193" s="2" t="str">
        <f>Raw_Data!H193</f>
        <v>YEARLY</v>
      </c>
      <c r="F193" s="2">
        <f>Raw_Data!I193</f>
        <v>397</v>
      </c>
      <c r="G193" s="13">
        <f>D193*INDEX(Multiplier_Lookup!$C$6:$C$9,MATCH(E193,Multiplier_Lookup!$B$6:$B$9,0))</f>
        <v>185025</v>
      </c>
      <c r="H193" s="2" t="str">
        <f t="shared" si="2"/>
        <v>EY|SAP Consultant</v>
      </c>
    </row>
    <row r="194" spans="1:8" x14ac:dyDescent="0.35">
      <c r="A194" s="2" t="str">
        <f>Raw_Data!A194</f>
        <v>EY</v>
      </c>
      <c r="B194" s="2" t="str">
        <f>Raw_Data!C194</f>
        <v>Information Design &amp; Documentation</v>
      </c>
      <c r="C194" s="2" t="str">
        <f>Raw_Data!D194</f>
        <v>Senior Technology Consultant</v>
      </c>
      <c r="D194" s="2">
        <f>Raw_Data!F194</f>
        <v>146004</v>
      </c>
      <c r="E194" s="2" t="str">
        <f>Raw_Data!H194</f>
        <v>YEARLY</v>
      </c>
      <c r="F194" s="2">
        <f>Raw_Data!I194</f>
        <v>18</v>
      </c>
      <c r="G194" s="13">
        <f>D194*INDEX(Multiplier_Lookup!$C$6:$C$9,MATCH(E194,Multiplier_Lookup!$B$6:$B$9,0))</f>
        <v>146004</v>
      </c>
      <c r="H194" s="2" t="str">
        <f t="shared" ref="H194:H257" si="3">A194&amp;"|"&amp;C194</f>
        <v>EY|Senior Technology Consultant</v>
      </c>
    </row>
    <row r="195" spans="1:8" x14ac:dyDescent="0.35">
      <c r="A195" s="2" t="str">
        <f>Raw_Data!A195</f>
        <v>EY</v>
      </c>
      <c r="B195" s="2" t="str">
        <f>Raw_Data!C195</f>
        <v>Information Design &amp; Documentation</v>
      </c>
      <c r="C195" s="2" t="str">
        <f>Raw_Data!D195</f>
        <v>Data Consultant</v>
      </c>
      <c r="D195" s="2">
        <f>Raw_Data!F195</f>
        <v>130337</v>
      </c>
      <c r="E195" s="2" t="str">
        <f>Raw_Data!H195</f>
        <v>YEARLY</v>
      </c>
      <c r="F195" s="2">
        <f>Raw_Data!I195</f>
        <v>79</v>
      </c>
      <c r="G195" s="13">
        <f>D195*INDEX(Multiplier_Lookup!$C$6:$C$9,MATCH(E195,Multiplier_Lookup!$B$6:$B$9,0))</f>
        <v>130337</v>
      </c>
      <c r="H195" s="2" t="str">
        <f t="shared" si="3"/>
        <v>EY|Data Consultant</v>
      </c>
    </row>
    <row r="196" spans="1:8" x14ac:dyDescent="0.35">
      <c r="A196" s="2" t="str">
        <f>Raw_Data!A196</f>
        <v>EY</v>
      </c>
      <c r="B196" s="2" t="str">
        <f>Raw_Data!C196</f>
        <v>Information Design &amp; Documentation</v>
      </c>
      <c r="C196" s="2" t="str">
        <f>Raw_Data!D196</f>
        <v>Cybersecurity Consultant</v>
      </c>
      <c r="D196" s="2">
        <f>Raw_Data!F196</f>
        <v>90563</v>
      </c>
      <c r="E196" s="2" t="str">
        <f>Raw_Data!H196</f>
        <v>YEARLY</v>
      </c>
      <c r="F196" s="2">
        <f>Raw_Data!I196</f>
        <v>29</v>
      </c>
      <c r="G196" s="13">
        <f>D196*INDEX(Multiplier_Lookup!$C$6:$C$9,MATCH(E196,Multiplier_Lookup!$B$6:$B$9,0))</f>
        <v>90563</v>
      </c>
      <c r="H196" s="2" t="str">
        <f t="shared" si="3"/>
        <v>EY|Cybersecurity Consultant</v>
      </c>
    </row>
    <row r="197" spans="1:8" x14ac:dyDescent="0.35">
      <c r="A197" s="2" t="str">
        <f>Raw_Data!A197</f>
        <v>EY</v>
      </c>
      <c r="B197" s="2" t="str">
        <f>Raw_Data!C197</f>
        <v>Information Design &amp; Documentation</v>
      </c>
      <c r="C197" s="2" t="str">
        <f>Raw_Data!D197</f>
        <v>SAP Lead</v>
      </c>
      <c r="D197" s="2">
        <f>Raw_Data!F197</f>
        <v>240303</v>
      </c>
      <c r="E197" s="2" t="str">
        <f>Raw_Data!H197</f>
        <v>YEARLY</v>
      </c>
      <c r="F197" s="2">
        <f>Raw_Data!I197</f>
        <v>95</v>
      </c>
      <c r="G197" s="13">
        <f>D197*INDEX(Multiplier_Lookup!$C$6:$C$9,MATCH(E197,Multiplier_Lookup!$B$6:$B$9,0))</f>
        <v>240303</v>
      </c>
      <c r="H197" s="2" t="str">
        <f t="shared" si="3"/>
        <v>EY|SAP Lead</v>
      </c>
    </row>
    <row r="198" spans="1:8" x14ac:dyDescent="0.35">
      <c r="A198" s="2" t="str">
        <f>Raw_Data!A198</f>
        <v>EY</v>
      </c>
      <c r="B198" s="2" t="str">
        <f>Raw_Data!C198</f>
        <v>Information Design &amp; Documentation</v>
      </c>
      <c r="C198" s="2" t="str">
        <f>Raw_Data!D198</f>
        <v>Senior Business Process Analyst</v>
      </c>
      <c r="D198" s="2">
        <f>Raw_Data!F198</f>
        <v>103732</v>
      </c>
      <c r="E198" s="2" t="str">
        <f>Raw_Data!H198</f>
        <v>YEARLY</v>
      </c>
      <c r="F198" s="2">
        <f>Raw_Data!I198</f>
        <v>27</v>
      </c>
      <c r="G198" s="13">
        <f>D198*INDEX(Multiplier_Lookup!$C$6:$C$9,MATCH(E198,Multiplier_Lookup!$B$6:$B$9,0))</f>
        <v>103732</v>
      </c>
      <c r="H198" s="2" t="str">
        <f t="shared" si="3"/>
        <v>EY|Senior Business Process Analyst</v>
      </c>
    </row>
    <row r="199" spans="1:8" x14ac:dyDescent="0.35">
      <c r="A199" s="2" t="str">
        <f>Raw_Data!A199</f>
        <v>EY</v>
      </c>
      <c r="B199" s="2" t="str">
        <f>Raw_Data!C199</f>
        <v>Information Design &amp; Documentation</v>
      </c>
      <c r="C199" s="2" t="str">
        <f>Raw_Data!D199</f>
        <v>CyberSecurity Lead</v>
      </c>
      <c r="D199" s="2">
        <f>Raw_Data!F199</f>
        <v>112363</v>
      </c>
      <c r="E199" s="2" t="str">
        <f>Raw_Data!H199</f>
        <v>YEARLY</v>
      </c>
      <c r="F199" s="2">
        <f>Raw_Data!I199</f>
        <v>24</v>
      </c>
      <c r="G199" s="13">
        <f>D199*INDEX(Multiplier_Lookup!$C$6:$C$9,MATCH(E199,Multiplier_Lookup!$B$6:$B$9,0))</f>
        <v>112363</v>
      </c>
      <c r="H199" s="2" t="str">
        <f t="shared" si="3"/>
        <v>EY|CyberSecurity Lead</v>
      </c>
    </row>
    <row r="200" spans="1:8" x14ac:dyDescent="0.35">
      <c r="A200" s="2" t="str">
        <f>Raw_Data!A200</f>
        <v>EY</v>
      </c>
      <c r="B200" s="2" t="str">
        <f>Raw_Data!C200</f>
        <v>Information Design &amp; Documentation</v>
      </c>
      <c r="C200" s="2" t="str">
        <f>Raw_Data!D200</f>
        <v>Senior Technology Analyst</v>
      </c>
      <c r="D200" s="2">
        <f>Raw_Data!F200</f>
        <v>103732</v>
      </c>
      <c r="E200" s="2" t="str">
        <f>Raw_Data!H200</f>
        <v>YEARLY</v>
      </c>
      <c r="F200" s="2">
        <f>Raw_Data!I200</f>
        <v>21</v>
      </c>
      <c r="G200" s="13">
        <f>D200*INDEX(Multiplier_Lookup!$C$6:$C$9,MATCH(E200,Multiplier_Lookup!$B$6:$B$9,0))</f>
        <v>103732</v>
      </c>
      <c r="H200" s="2" t="str">
        <f t="shared" si="3"/>
        <v>EY|Senior Technology Analyst</v>
      </c>
    </row>
    <row r="201" spans="1:8" x14ac:dyDescent="0.35">
      <c r="A201" s="2" t="str">
        <f>Raw_Data!A201</f>
        <v>EY</v>
      </c>
      <c r="B201" s="2" t="str">
        <f>Raw_Data!C201</f>
        <v>Information Design &amp; Documentation</v>
      </c>
      <c r="C201" s="2" t="str">
        <f>Raw_Data!D201</f>
        <v>Oracle Consultant</v>
      </c>
      <c r="D201" s="2">
        <f>Raw_Data!F201</f>
        <v>149033</v>
      </c>
      <c r="E201" s="2" t="str">
        <f>Raw_Data!H201</f>
        <v>YEARLY</v>
      </c>
      <c r="F201" s="2">
        <f>Raw_Data!I201</f>
        <v>18</v>
      </c>
      <c r="G201" s="13">
        <f>D201*INDEX(Multiplier_Lookup!$C$6:$C$9,MATCH(E201,Multiplier_Lookup!$B$6:$B$9,0))</f>
        <v>149033</v>
      </c>
      <c r="H201" s="2" t="str">
        <f t="shared" si="3"/>
        <v>EY|Oracle Consultant</v>
      </c>
    </row>
    <row r="202" spans="1:8" x14ac:dyDescent="0.35">
      <c r="A202" s="2" t="str">
        <f>Raw_Data!A202</f>
        <v>KPMG</v>
      </c>
      <c r="B202" s="2" t="str">
        <f>Raw_Data!C202</f>
        <v>Banking &amp; Finance</v>
      </c>
      <c r="C202" s="2" t="str">
        <f>Raw_Data!D202</f>
        <v>Audit Manager</v>
      </c>
      <c r="D202" s="2">
        <f>Raw_Data!F202</f>
        <v>127757</v>
      </c>
      <c r="E202" s="2" t="str">
        <f>Raw_Data!H202</f>
        <v>YEARLY</v>
      </c>
      <c r="F202" s="2">
        <f>Raw_Data!I202</f>
        <v>20</v>
      </c>
      <c r="G202" s="13">
        <f>D202*INDEX(Multiplier_Lookup!$C$6:$C$9,MATCH(E202,Multiplier_Lookup!$B$6:$B$9,0))</f>
        <v>127757</v>
      </c>
      <c r="H202" s="2" t="str">
        <f t="shared" si="3"/>
        <v>KPMG|Audit Manager</v>
      </c>
    </row>
    <row r="203" spans="1:8" x14ac:dyDescent="0.35">
      <c r="A203" s="2" t="str">
        <f>Raw_Data!A203</f>
        <v>KPMG</v>
      </c>
      <c r="B203" s="2" t="str">
        <f>Raw_Data!C203</f>
        <v>Banking &amp; Finance</v>
      </c>
      <c r="C203" s="2" t="str">
        <f>Raw_Data!D203</f>
        <v>Wealth Advisory Manager</v>
      </c>
      <c r="D203" s="2">
        <f>Raw_Data!F203</f>
        <v>194315</v>
      </c>
      <c r="E203" s="2" t="str">
        <f>Raw_Data!H203</f>
        <v>YEARLY</v>
      </c>
      <c r="F203" s="2">
        <f>Raw_Data!I203</f>
        <v>13</v>
      </c>
      <c r="G203" s="13">
        <f>D203*INDEX(Multiplier_Lookup!$C$6:$C$9,MATCH(E203,Multiplier_Lookup!$B$6:$B$9,0))</f>
        <v>194315</v>
      </c>
      <c r="H203" s="2" t="str">
        <f t="shared" si="3"/>
        <v>KPMG|Wealth Advisory Manager</v>
      </c>
    </row>
    <row r="204" spans="1:8" x14ac:dyDescent="0.35">
      <c r="A204" s="2" t="str">
        <f>Raw_Data!A204</f>
        <v>KPMG</v>
      </c>
      <c r="B204" s="2" t="str">
        <f>Raw_Data!C204</f>
        <v>Banking &amp; Finance</v>
      </c>
      <c r="C204" s="2" t="str">
        <f>Raw_Data!D204</f>
        <v>Risk Associate</v>
      </c>
      <c r="D204" s="2">
        <f>Raw_Data!F204</f>
        <v>80101</v>
      </c>
      <c r="E204" s="2" t="str">
        <f>Raw_Data!H204</f>
        <v>YEARLY</v>
      </c>
      <c r="F204" s="2">
        <f>Raw_Data!I204</f>
        <v>8</v>
      </c>
      <c r="G204" s="13">
        <f>D204*INDEX(Multiplier_Lookup!$C$6:$C$9,MATCH(E204,Multiplier_Lookup!$B$6:$B$9,0))</f>
        <v>80101</v>
      </c>
      <c r="H204" s="2" t="str">
        <f t="shared" si="3"/>
        <v>KPMG|Risk Associate</v>
      </c>
    </row>
    <row r="205" spans="1:8" x14ac:dyDescent="0.35">
      <c r="A205" s="2" t="str">
        <f>Raw_Data!A205</f>
        <v>KPMG</v>
      </c>
      <c r="B205" s="2" t="str">
        <f>Raw_Data!C205</f>
        <v>Banking &amp; Finance</v>
      </c>
      <c r="C205" s="2" t="str">
        <f>Raw_Data!D205</f>
        <v>Senior Audit Manager</v>
      </c>
      <c r="D205" s="2">
        <f>Raw_Data!F205</f>
        <v>165631</v>
      </c>
      <c r="E205" s="2" t="str">
        <f>Raw_Data!H205</f>
        <v>YEARLY</v>
      </c>
      <c r="F205" s="2">
        <f>Raw_Data!I205</f>
        <v>3</v>
      </c>
      <c r="G205" s="13">
        <f>D205*INDEX(Multiplier_Lookup!$C$6:$C$9,MATCH(E205,Multiplier_Lookup!$B$6:$B$9,0))</f>
        <v>165631</v>
      </c>
      <c r="H205" s="2" t="str">
        <f t="shared" si="3"/>
        <v>KPMG|Senior Audit Manager</v>
      </c>
    </row>
    <row r="206" spans="1:8" x14ac:dyDescent="0.35">
      <c r="A206" s="2" t="str">
        <f>Raw_Data!A206</f>
        <v>KPMG</v>
      </c>
      <c r="B206" s="2" t="str">
        <f>Raw_Data!C206</f>
        <v>Banking &amp; Finance</v>
      </c>
      <c r="C206" s="2" t="str">
        <f>Raw_Data!D206</f>
        <v>Risk Manager</v>
      </c>
      <c r="D206" s="2">
        <f>Raw_Data!F206</f>
        <v>6765</v>
      </c>
      <c r="E206" s="2" t="str">
        <f>Raw_Data!H206</f>
        <v>MONTHLY</v>
      </c>
      <c r="F206" s="2">
        <f>Raw_Data!I206</f>
        <v>3</v>
      </c>
      <c r="G206" s="13">
        <f>D206*INDEX(Multiplier_Lookup!$C$6:$C$9,MATCH(E206,Multiplier_Lookup!$B$6:$B$9,0))</f>
        <v>81180</v>
      </c>
      <c r="H206" s="2" t="str">
        <f t="shared" si="3"/>
        <v>KPMG|Risk Manager</v>
      </c>
    </row>
    <row r="207" spans="1:8" x14ac:dyDescent="0.35">
      <c r="A207" s="2" t="str">
        <f>Raw_Data!A207</f>
        <v>KPMG</v>
      </c>
      <c r="B207" s="2" t="str">
        <f>Raw_Data!C207</f>
        <v>Banking &amp; Finance</v>
      </c>
      <c r="C207" s="2" t="str">
        <f>Raw_Data!D207</f>
        <v>Director of Strategy</v>
      </c>
      <c r="D207" s="2">
        <f>Raw_Data!F207</f>
        <v>14052</v>
      </c>
      <c r="E207" s="2" t="str">
        <f>Raw_Data!H207</f>
        <v>MONTHLY</v>
      </c>
      <c r="F207" s="2">
        <f>Raw_Data!I207</f>
        <v>3</v>
      </c>
      <c r="G207" s="13">
        <f>D207*INDEX(Multiplier_Lookup!$C$6:$C$9,MATCH(E207,Multiplier_Lookup!$B$6:$B$9,0))</f>
        <v>168624</v>
      </c>
      <c r="H207" s="2" t="str">
        <f t="shared" si="3"/>
        <v>KPMG|Director of Strategy</v>
      </c>
    </row>
    <row r="208" spans="1:8" x14ac:dyDescent="0.35">
      <c r="A208" s="2" t="str">
        <f>Raw_Data!A208</f>
        <v>KPMG</v>
      </c>
      <c r="B208" s="2" t="str">
        <f>Raw_Data!C208</f>
        <v>Banking &amp; Finance</v>
      </c>
      <c r="C208" s="2" t="str">
        <f>Raw_Data!D208</f>
        <v>Assurance Manager</v>
      </c>
      <c r="D208" s="2">
        <f>Raw_Data!F208</f>
        <v>8605</v>
      </c>
      <c r="E208" s="2" t="str">
        <f>Raw_Data!H208</f>
        <v>MONTHLY</v>
      </c>
      <c r="F208" s="2">
        <f>Raw_Data!I208</f>
        <v>3</v>
      </c>
      <c r="G208" s="13">
        <f>D208*INDEX(Multiplier_Lookup!$C$6:$C$9,MATCH(E208,Multiplier_Lookup!$B$6:$B$9,0))</f>
        <v>103260</v>
      </c>
      <c r="H208" s="2" t="str">
        <f t="shared" si="3"/>
        <v>KPMG|Assurance Manager</v>
      </c>
    </row>
    <row r="209" spans="1:8" x14ac:dyDescent="0.35">
      <c r="A209" s="2" t="str">
        <f>Raw_Data!A209</f>
        <v>KPMG</v>
      </c>
      <c r="B209" s="2" t="str">
        <f>Raw_Data!C209</f>
        <v>Banking &amp; Finance</v>
      </c>
      <c r="C209" s="2" t="str">
        <f>Raw_Data!D209</f>
        <v>Financial Risk Analyst</v>
      </c>
      <c r="D209" s="2">
        <f>Raw_Data!F209</f>
        <v>7018</v>
      </c>
      <c r="E209" s="2" t="str">
        <f>Raw_Data!H209</f>
        <v>MONTHLY</v>
      </c>
      <c r="F209" s="2">
        <f>Raw_Data!I209</f>
        <v>2</v>
      </c>
      <c r="G209" s="13">
        <f>D209*INDEX(Multiplier_Lookup!$C$6:$C$9,MATCH(E209,Multiplier_Lookup!$B$6:$B$9,0))</f>
        <v>84216</v>
      </c>
      <c r="H209" s="2" t="str">
        <f t="shared" si="3"/>
        <v>KPMG|Financial Risk Analyst</v>
      </c>
    </row>
    <row r="210" spans="1:8" x14ac:dyDescent="0.35">
      <c r="A210" s="2" t="str">
        <f>Raw_Data!A210</f>
        <v>KPMG</v>
      </c>
      <c r="B210" s="2" t="str">
        <f>Raw_Data!C210</f>
        <v>Banking &amp; Finance</v>
      </c>
      <c r="C210" s="2" t="str">
        <f>Raw_Data!D210</f>
        <v>Financial Consultant</v>
      </c>
      <c r="D210" s="2">
        <f>Raw_Data!F210</f>
        <v>9707</v>
      </c>
      <c r="E210" s="2" t="str">
        <f>Raw_Data!H210</f>
        <v>MONTHLY</v>
      </c>
      <c r="F210" s="2">
        <f>Raw_Data!I210</f>
        <v>2</v>
      </c>
      <c r="G210" s="13">
        <f>D210*INDEX(Multiplier_Lookup!$C$6:$C$9,MATCH(E210,Multiplier_Lookup!$B$6:$B$9,0))</f>
        <v>116484</v>
      </c>
      <c r="H210" s="2" t="str">
        <f t="shared" si="3"/>
        <v>KPMG|Financial Consultant</v>
      </c>
    </row>
    <row r="211" spans="1:8" x14ac:dyDescent="0.35">
      <c r="A211" s="2" t="str">
        <f>Raw_Data!A211</f>
        <v>KPMG</v>
      </c>
      <c r="B211" s="2" t="str">
        <f>Raw_Data!C211</f>
        <v>Banking &amp; Finance</v>
      </c>
      <c r="C211" s="2" t="str">
        <f>Raw_Data!D211</f>
        <v>Esg Research Associate</v>
      </c>
      <c r="D211" s="2">
        <f>Raw_Data!F211</f>
        <v>8893</v>
      </c>
      <c r="E211" s="2" t="str">
        <f>Raw_Data!H211</f>
        <v>MONTHLY</v>
      </c>
      <c r="F211" s="2">
        <f>Raw_Data!I211</f>
        <v>2</v>
      </c>
      <c r="G211" s="13">
        <f>D211*INDEX(Multiplier_Lookup!$C$6:$C$9,MATCH(E211,Multiplier_Lookup!$B$6:$B$9,0))</f>
        <v>106716</v>
      </c>
      <c r="H211" s="2" t="str">
        <f t="shared" si="3"/>
        <v>KPMG|Esg Research Associate</v>
      </c>
    </row>
    <row r="212" spans="1:8" x14ac:dyDescent="0.35">
      <c r="A212" s="2" t="str">
        <f>Raw_Data!A212</f>
        <v>Accenture</v>
      </c>
      <c r="B212" s="2" t="str">
        <f>Raw_Data!C212</f>
        <v>Information Design &amp; Documentation</v>
      </c>
      <c r="C212" s="2" t="str">
        <f>Raw_Data!D212</f>
        <v>Technology Analyst</v>
      </c>
      <c r="D212" s="2">
        <f>Raw_Data!F212</f>
        <v>82001</v>
      </c>
      <c r="E212" s="2" t="str">
        <f>Raw_Data!H212</f>
        <v>YEARLY</v>
      </c>
      <c r="F212" s="2">
        <f>Raw_Data!I212</f>
        <v>22</v>
      </c>
      <c r="G212" s="13">
        <f>D212*INDEX(Multiplier_Lookup!$C$6:$C$9,MATCH(E212,Multiplier_Lookup!$B$6:$B$9,0))</f>
        <v>82001</v>
      </c>
      <c r="H212" s="2" t="str">
        <f t="shared" si="3"/>
        <v>Accenture|Technology Analyst</v>
      </c>
    </row>
    <row r="213" spans="1:8" x14ac:dyDescent="0.35">
      <c r="A213" s="2" t="str">
        <f>Raw_Data!A213</f>
        <v>Accenture</v>
      </c>
      <c r="B213" s="2" t="str">
        <f>Raw_Data!C213</f>
        <v>Information Design &amp; Documentation</v>
      </c>
      <c r="C213" s="2" t="str">
        <f>Raw_Data!D213</f>
        <v>Technology Consultant</v>
      </c>
      <c r="D213" s="2">
        <f>Raw_Data!F213</f>
        <v>126828</v>
      </c>
      <c r="E213" s="2" t="str">
        <f>Raw_Data!H213</f>
        <v>YEARLY</v>
      </c>
      <c r="F213" s="2">
        <f>Raw_Data!I213</f>
        <v>16</v>
      </c>
      <c r="G213" s="13">
        <f>D213*INDEX(Multiplier_Lookup!$C$6:$C$9,MATCH(E213,Multiplier_Lookup!$B$6:$B$9,0))</f>
        <v>126828</v>
      </c>
      <c r="H213" s="2" t="str">
        <f t="shared" si="3"/>
        <v>Accenture|Technology Consultant</v>
      </c>
    </row>
    <row r="214" spans="1:8" x14ac:dyDescent="0.35">
      <c r="A214" s="2" t="str">
        <f>Raw_Data!A214</f>
        <v>Accenture</v>
      </c>
      <c r="B214" s="2" t="str">
        <f>Raw_Data!C214</f>
        <v>Information Design &amp; Documentation</v>
      </c>
      <c r="C214" s="2" t="str">
        <f>Raw_Data!D214</f>
        <v>Consultant Configuration Analyst</v>
      </c>
      <c r="D214" s="2">
        <f>Raw_Data!F214</f>
        <v>86265</v>
      </c>
      <c r="E214" s="2" t="str">
        <f>Raw_Data!H214</f>
        <v>YEARLY</v>
      </c>
      <c r="F214" s="2">
        <f>Raw_Data!I214</f>
        <v>8</v>
      </c>
      <c r="G214" s="13">
        <f>D214*INDEX(Multiplier_Lookup!$C$6:$C$9,MATCH(E214,Multiplier_Lookup!$B$6:$B$9,0))</f>
        <v>86265</v>
      </c>
      <c r="H214" s="2" t="str">
        <f t="shared" si="3"/>
        <v>Accenture|Consultant Configuration Analyst</v>
      </c>
    </row>
    <row r="215" spans="1:8" x14ac:dyDescent="0.35">
      <c r="A215" s="2" t="str">
        <f>Raw_Data!A215</f>
        <v>Accenture</v>
      </c>
      <c r="B215" s="2" t="str">
        <f>Raw_Data!C215</f>
        <v>Information Design &amp; Documentation</v>
      </c>
      <c r="C215" s="2" t="str">
        <f>Raw_Data!D215</f>
        <v>SAP Consultant</v>
      </c>
      <c r="D215" s="2">
        <f>Raw_Data!F215</f>
        <v>114692</v>
      </c>
      <c r="E215" s="2" t="str">
        <f>Raw_Data!H215</f>
        <v>YEARLY</v>
      </c>
      <c r="F215" s="2">
        <f>Raw_Data!I215</f>
        <v>88</v>
      </c>
      <c r="G215" s="13">
        <f>D215*INDEX(Multiplier_Lookup!$C$6:$C$9,MATCH(E215,Multiplier_Lookup!$B$6:$B$9,0))</f>
        <v>114692</v>
      </c>
      <c r="H215" s="2" t="str">
        <f t="shared" si="3"/>
        <v>Accenture|SAP Consultant</v>
      </c>
    </row>
    <row r="216" spans="1:8" x14ac:dyDescent="0.35">
      <c r="A216" s="2" t="str">
        <f>Raw_Data!A216</f>
        <v>Accenture</v>
      </c>
      <c r="B216" s="2" t="str">
        <f>Raw_Data!C216</f>
        <v>Information Design &amp; Documentation</v>
      </c>
      <c r="C216" s="2" t="str">
        <f>Raw_Data!D216</f>
        <v>Application Analyst</v>
      </c>
      <c r="D216" s="2">
        <f>Raw_Data!F216</f>
        <v>75549</v>
      </c>
      <c r="E216" s="2" t="str">
        <f>Raw_Data!H216</f>
        <v>YEARLY</v>
      </c>
      <c r="F216" s="2">
        <f>Raw_Data!I216</f>
        <v>9</v>
      </c>
      <c r="G216" s="13">
        <f>D216*INDEX(Multiplier_Lookup!$C$6:$C$9,MATCH(E216,Multiplier_Lookup!$B$6:$B$9,0))</f>
        <v>75549</v>
      </c>
      <c r="H216" s="2" t="str">
        <f t="shared" si="3"/>
        <v>Accenture|Application Analyst</v>
      </c>
    </row>
    <row r="217" spans="1:8" x14ac:dyDescent="0.35">
      <c r="A217" s="2" t="str">
        <f>Raw_Data!A217</f>
        <v>Accenture</v>
      </c>
      <c r="B217" s="2" t="str">
        <f>Raw_Data!C217</f>
        <v>Information Design &amp; Documentation</v>
      </c>
      <c r="C217" s="2" t="str">
        <f>Raw_Data!D217</f>
        <v>Delivery Analyst</v>
      </c>
      <c r="D217" s="2">
        <f>Raw_Data!F217</f>
        <v>90335</v>
      </c>
      <c r="E217" s="2" t="str">
        <f>Raw_Data!H217</f>
        <v>YEARLY</v>
      </c>
      <c r="F217" s="2">
        <f>Raw_Data!I217</f>
        <v>6</v>
      </c>
      <c r="G217" s="13">
        <f>D217*INDEX(Multiplier_Lookup!$C$6:$C$9,MATCH(E217,Multiplier_Lookup!$B$6:$B$9,0))</f>
        <v>90335</v>
      </c>
      <c r="H217" s="2" t="str">
        <f t="shared" si="3"/>
        <v>Accenture|Delivery Analyst</v>
      </c>
    </row>
    <row r="218" spans="1:8" x14ac:dyDescent="0.35">
      <c r="A218" s="2" t="str">
        <f>Raw_Data!A218</f>
        <v>Accenture</v>
      </c>
      <c r="B218" s="2" t="str">
        <f>Raw_Data!C218</f>
        <v>Information Design &amp; Documentation</v>
      </c>
      <c r="C218" s="2" t="str">
        <f>Raw_Data!D218</f>
        <v>Oracle Consultant</v>
      </c>
      <c r="D218" s="2">
        <f>Raw_Data!F218</f>
        <v>115773</v>
      </c>
      <c r="E218" s="2" t="str">
        <f>Raw_Data!H218</f>
        <v>YEARLY</v>
      </c>
      <c r="F218" s="2">
        <f>Raw_Data!I218</f>
        <v>24</v>
      </c>
      <c r="G218" s="13">
        <f>D218*INDEX(Multiplier_Lookup!$C$6:$C$9,MATCH(E218,Multiplier_Lookup!$B$6:$B$9,0))</f>
        <v>115773</v>
      </c>
      <c r="H218" s="2" t="str">
        <f t="shared" si="3"/>
        <v>Accenture|Oracle Consultant</v>
      </c>
    </row>
    <row r="219" spans="1:8" x14ac:dyDescent="0.35">
      <c r="A219" s="2" t="str">
        <f>Raw_Data!A219</f>
        <v>Accenture</v>
      </c>
      <c r="B219" s="2" t="str">
        <f>Raw_Data!C219</f>
        <v>Information Design &amp; Documentation</v>
      </c>
      <c r="C219" s="2" t="str">
        <f>Raw_Data!D219</f>
        <v>Operations Analyst</v>
      </c>
      <c r="D219" s="2">
        <f>Raw_Data!F219</f>
        <v>51627</v>
      </c>
      <c r="E219" s="2" t="str">
        <f>Raw_Data!H219</f>
        <v>YEARLY</v>
      </c>
      <c r="F219" s="2">
        <f>Raw_Data!I219</f>
        <v>9</v>
      </c>
      <c r="G219" s="13">
        <f>D219*INDEX(Multiplier_Lookup!$C$6:$C$9,MATCH(E219,Multiplier_Lookup!$B$6:$B$9,0))</f>
        <v>51627</v>
      </c>
      <c r="H219" s="2" t="str">
        <f t="shared" si="3"/>
        <v>Accenture|Operations Analyst</v>
      </c>
    </row>
    <row r="220" spans="1:8" x14ac:dyDescent="0.35">
      <c r="A220" s="2" t="str">
        <f>Raw_Data!A220</f>
        <v>Accenture</v>
      </c>
      <c r="B220" s="2" t="str">
        <f>Raw_Data!C220</f>
        <v>Information Design &amp; Documentation</v>
      </c>
      <c r="C220" s="2" t="str">
        <f>Raw_Data!D220</f>
        <v>Data Consultant</v>
      </c>
      <c r="D220" s="2">
        <f>Raw_Data!F220</f>
        <v>116136</v>
      </c>
      <c r="E220" s="2" t="str">
        <f>Raw_Data!H220</f>
        <v>YEARLY</v>
      </c>
      <c r="F220" s="2">
        <f>Raw_Data!I220</f>
        <v>6</v>
      </c>
      <c r="G220" s="13">
        <f>D220*INDEX(Multiplier_Lookup!$C$6:$C$9,MATCH(E220,Multiplier_Lookup!$B$6:$B$9,0))</f>
        <v>116136</v>
      </c>
      <c r="H220" s="2" t="str">
        <f t="shared" si="3"/>
        <v>Accenture|Data Consultant</v>
      </c>
    </row>
    <row r="221" spans="1:8" x14ac:dyDescent="0.35">
      <c r="A221" s="2" t="str">
        <f>Raw_Data!A221</f>
        <v>Accenture</v>
      </c>
      <c r="B221" s="2" t="str">
        <f>Raw_Data!C221</f>
        <v>Information Design &amp; Documentation</v>
      </c>
      <c r="C221" s="2" t="str">
        <f>Raw_Data!D221</f>
        <v>Quality Assurance Analyst</v>
      </c>
      <c r="D221" s="2">
        <f>Raw_Data!F221</f>
        <v>75000</v>
      </c>
      <c r="E221" s="2" t="str">
        <f>Raw_Data!H221</f>
        <v>YEARLY</v>
      </c>
      <c r="F221" s="2">
        <f>Raw_Data!I221</f>
        <v>1</v>
      </c>
      <c r="G221" s="13">
        <f>D221*INDEX(Multiplier_Lookup!$C$6:$C$9,MATCH(E221,Multiplier_Lookup!$B$6:$B$9,0))</f>
        <v>75000</v>
      </c>
      <c r="H221" s="2" t="str">
        <f t="shared" si="3"/>
        <v>Accenture|Quality Assurance Analyst</v>
      </c>
    </row>
    <row r="222" spans="1:8" x14ac:dyDescent="0.35">
      <c r="A222" s="2" t="str">
        <f>Raw_Data!A222</f>
        <v>IBM</v>
      </c>
      <c r="B222" s="2" t="str">
        <f>Raw_Data!C222</f>
        <v>Information Design &amp; Documentation</v>
      </c>
      <c r="C222" s="2" t="str">
        <f>Raw_Data!D222</f>
        <v>User Experience Designer</v>
      </c>
      <c r="D222" s="2">
        <f>Raw_Data!F222</f>
        <v>147384</v>
      </c>
      <c r="E222" s="2" t="str">
        <f>Raw_Data!H222</f>
        <v>YEARLY</v>
      </c>
      <c r="F222" s="2">
        <f>Raw_Data!I222</f>
        <v>6</v>
      </c>
      <c r="G222" s="13">
        <f>D222*INDEX(Multiplier_Lookup!$C$6:$C$9,MATCH(E222,Multiplier_Lookup!$B$6:$B$9,0))</f>
        <v>147384</v>
      </c>
      <c r="H222" s="2" t="str">
        <f t="shared" si="3"/>
        <v>IBM|User Experience Designer</v>
      </c>
    </row>
    <row r="223" spans="1:8" x14ac:dyDescent="0.35">
      <c r="A223" s="2" t="str">
        <f>Raw_Data!A223</f>
        <v>IBM</v>
      </c>
      <c r="B223" s="2" t="str">
        <f>Raw_Data!C223</f>
        <v>Information Design &amp; Documentation</v>
      </c>
      <c r="C223" s="2" t="str">
        <f>Raw_Data!D223</f>
        <v>SAP Consultant</v>
      </c>
      <c r="D223" s="2">
        <f>Raw_Data!F223</f>
        <v>57311</v>
      </c>
      <c r="E223" s="2" t="str">
        <f>Raw_Data!H223</f>
        <v>YEARLY</v>
      </c>
      <c r="F223" s="2">
        <f>Raw_Data!I223</f>
        <v>6</v>
      </c>
      <c r="G223" s="13">
        <f>D223*INDEX(Multiplier_Lookup!$C$6:$C$9,MATCH(E223,Multiplier_Lookup!$B$6:$B$9,0))</f>
        <v>57311</v>
      </c>
      <c r="H223" s="2" t="str">
        <f t="shared" si="3"/>
        <v>IBM|SAP Consultant</v>
      </c>
    </row>
    <row r="224" spans="1:8" x14ac:dyDescent="0.35">
      <c r="A224" s="2" t="str">
        <f>Raw_Data!A224</f>
        <v>IBM</v>
      </c>
      <c r="B224" s="2" t="str">
        <f>Raw_Data!C224</f>
        <v>Information Design &amp; Documentation</v>
      </c>
      <c r="C224" s="2" t="str">
        <f>Raw_Data!D224</f>
        <v>Oracle Consultant</v>
      </c>
      <c r="D224" s="2">
        <f>Raw_Data!F224</f>
        <v>97540</v>
      </c>
      <c r="E224" s="2" t="str">
        <f>Raw_Data!H224</f>
        <v>YEARLY</v>
      </c>
      <c r="F224" s="2">
        <f>Raw_Data!I224</f>
        <v>25</v>
      </c>
      <c r="G224" s="13">
        <f>D224*INDEX(Multiplier_Lookup!$C$6:$C$9,MATCH(E224,Multiplier_Lookup!$B$6:$B$9,0))</f>
        <v>97540</v>
      </c>
      <c r="H224" s="2" t="str">
        <f t="shared" si="3"/>
        <v>IBM|Oracle Consultant</v>
      </c>
    </row>
    <row r="225" spans="1:8" x14ac:dyDescent="0.35">
      <c r="A225" s="2" t="str">
        <f>Raw_Data!A225</f>
        <v>IBM</v>
      </c>
      <c r="B225" s="2" t="str">
        <f>Raw_Data!C225</f>
        <v>Information Design &amp; Documentation</v>
      </c>
      <c r="C225" s="2" t="str">
        <f>Raw_Data!D225</f>
        <v>User Experience Researcher</v>
      </c>
      <c r="D225" s="2">
        <f>Raw_Data!F225</f>
        <v>139381</v>
      </c>
      <c r="E225" s="2" t="str">
        <f>Raw_Data!H225</f>
        <v>YEARLY</v>
      </c>
      <c r="F225" s="2">
        <f>Raw_Data!I225</f>
        <v>8</v>
      </c>
      <c r="G225" s="13">
        <f>D225*INDEX(Multiplier_Lookup!$C$6:$C$9,MATCH(E225,Multiplier_Lookup!$B$6:$B$9,0))</f>
        <v>139381</v>
      </c>
      <c r="H225" s="2" t="str">
        <f t="shared" si="3"/>
        <v>IBM|User Experience Researcher</v>
      </c>
    </row>
    <row r="226" spans="1:8" x14ac:dyDescent="0.35">
      <c r="A226" s="2" t="str">
        <f>Raw_Data!A226</f>
        <v>IBM</v>
      </c>
      <c r="B226" s="2" t="str">
        <f>Raw_Data!C226</f>
        <v>Information Design &amp; Documentation</v>
      </c>
      <c r="C226" s="2" t="str">
        <f>Raw_Data!D226</f>
        <v>Product Designer</v>
      </c>
      <c r="D226" s="2">
        <f>Raw_Data!F226</f>
        <v>97986</v>
      </c>
      <c r="E226" s="2" t="str">
        <f>Raw_Data!H226</f>
        <v>YEARLY</v>
      </c>
      <c r="F226" s="2">
        <f>Raw_Data!I226</f>
        <v>13</v>
      </c>
      <c r="G226" s="13">
        <f>D226*INDEX(Multiplier_Lookup!$C$6:$C$9,MATCH(E226,Multiplier_Lookup!$B$6:$B$9,0))</f>
        <v>97986</v>
      </c>
      <c r="H226" s="2" t="str">
        <f t="shared" si="3"/>
        <v>IBM|Product Designer</v>
      </c>
    </row>
    <row r="227" spans="1:8" x14ac:dyDescent="0.35">
      <c r="A227" s="2" t="str">
        <f>Raw_Data!A227</f>
        <v>IBM</v>
      </c>
      <c r="B227" s="2" t="str">
        <f>Raw_Data!C227</f>
        <v>Information Design &amp; Documentation</v>
      </c>
      <c r="C227" s="2" t="str">
        <f>Raw_Data!D227</f>
        <v>Design Engineer</v>
      </c>
      <c r="D227" s="2">
        <f>Raw_Data!F227</f>
        <v>106029</v>
      </c>
      <c r="E227" s="2" t="str">
        <f>Raw_Data!H227</f>
        <v>YEARLY</v>
      </c>
      <c r="F227" s="2">
        <f>Raw_Data!I227</f>
        <v>7</v>
      </c>
      <c r="G227" s="13">
        <f>D227*INDEX(Multiplier_Lookup!$C$6:$C$9,MATCH(E227,Multiplier_Lookup!$B$6:$B$9,0))</f>
        <v>106029</v>
      </c>
      <c r="H227" s="2" t="str">
        <f t="shared" si="3"/>
        <v>IBM|Design Engineer</v>
      </c>
    </row>
    <row r="228" spans="1:8" x14ac:dyDescent="0.35">
      <c r="A228" s="2" t="str">
        <f>Raw_Data!A228</f>
        <v>IBM</v>
      </c>
      <c r="B228" s="2" t="str">
        <f>Raw_Data!C228</f>
        <v>Information Design &amp; Documentation</v>
      </c>
      <c r="C228" s="2" t="str">
        <f>Raw_Data!D228</f>
        <v>Technical Specialist</v>
      </c>
      <c r="D228" s="2">
        <f>Raw_Data!F228</f>
        <v>115800</v>
      </c>
      <c r="E228" s="2" t="str">
        <f>Raw_Data!H228</f>
        <v>YEARLY</v>
      </c>
      <c r="F228" s="2">
        <f>Raw_Data!I228</f>
        <v>13</v>
      </c>
      <c r="G228" s="13">
        <f>D228*INDEX(Multiplier_Lookup!$C$6:$C$9,MATCH(E228,Multiplier_Lookup!$B$6:$B$9,0))</f>
        <v>115800</v>
      </c>
      <c r="H228" s="2" t="str">
        <f t="shared" si="3"/>
        <v>IBM|Technical Specialist</v>
      </c>
    </row>
    <row r="229" spans="1:8" x14ac:dyDescent="0.35">
      <c r="A229" s="2" t="str">
        <f>Raw_Data!A229</f>
        <v>IBM</v>
      </c>
      <c r="B229" s="2" t="str">
        <f>Raw_Data!C229</f>
        <v>Information Design &amp; Documentation</v>
      </c>
      <c r="C229" s="2" t="str">
        <f>Raw_Data!D229</f>
        <v>Senior User Experience Designer</v>
      </c>
      <c r="D229" s="2">
        <f>Raw_Data!F229</f>
        <v>182795</v>
      </c>
      <c r="E229" s="2" t="str">
        <f>Raw_Data!H229</f>
        <v>YEARLY</v>
      </c>
      <c r="F229" s="2">
        <f>Raw_Data!I229</f>
        <v>8</v>
      </c>
      <c r="G229" s="13">
        <f>D229*INDEX(Multiplier_Lookup!$C$6:$C$9,MATCH(E229,Multiplier_Lookup!$B$6:$B$9,0))</f>
        <v>182795</v>
      </c>
      <c r="H229" s="2" t="str">
        <f t="shared" si="3"/>
        <v>IBM|Senior User Experience Designer</v>
      </c>
    </row>
    <row r="230" spans="1:8" x14ac:dyDescent="0.35">
      <c r="A230" s="2" t="str">
        <f>Raw_Data!A230</f>
        <v>IBM</v>
      </c>
      <c r="B230" s="2" t="str">
        <f>Raw_Data!C230</f>
        <v>Information Design &amp; Documentation</v>
      </c>
      <c r="C230" s="2" t="str">
        <f>Raw_Data!D230</f>
        <v>Package Consultant</v>
      </c>
      <c r="D230" s="2">
        <f>Raw_Data!F230</f>
        <v>75235</v>
      </c>
      <c r="E230" s="2" t="str">
        <f>Raw_Data!H230</f>
        <v>YEARLY</v>
      </c>
      <c r="F230" s="2">
        <f>Raw_Data!I230</f>
        <v>9</v>
      </c>
      <c r="G230" s="13">
        <f>D230*INDEX(Multiplier_Lookup!$C$6:$C$9,MATCH(E230,Multiplier_Lookup!$B$6:$B$9,0))</f>
        <v>75235</v>
      </c>
      <c r="H230" s="2" t="str">
        <f t="shared" si="3"/>
        <v>IBM|Package Consultant</v>
      </c>
    </row>
    <row r="231" spans="1:8" x14ac:dyDescent="0.35">
      <c r="A231" s="2" t="str">
        <f>Raw_Data!A231</f>
        <v>IBM</v>
      </c>
      <c r="B231" s="2" t="str">
        <f>Raw_Data!C231</f>
        <v>Information Design &amp; Documentation</v>
      </c>
      <c r="C231" s="2" t="str">
        <f>Raw_Data!D231</f>
        <v>Technical Consultant</v>
      </c>
      <c r="D231" s="2">
        <f>Raw_Data!F231</f>
        <v>74499</v>
      </c>
      <c r="E231" s="2" t="str">
        <f>Raw_Data!H231</f>
        <v>YEARLY</v>
      </c>
      <c r="F231" s="2">
        <f>Raw_Data!I231</f>
        <v>7</v>
      </c>
      <c r="G231" s="13">
        <f>D231*INDEX(Multiplier_Lookup!$C$6:$C$9,MATCH(E231,Multiplier_Lookup!$B$6:$B$9,0))</f>
        <v>74499</v>
      </c>
      <c r="H231" s="2" t="str">
        <f t="shared" si="3"/>
        <v>IBM|Technical Consultant</v>
      </c>
    </row>
    <row r="232" spans="1:8" x14ac:dyDescent="0.35">
      <c r="A232" s="2" t="str">
        <f>Raw_Data!A232</f>
        <v>Oracle</v>
      </c>
      <c r="B232" s="2" t="str">
        <f>Raw_Data!C232</f>
        <v>Management</v>
      </c>
      <c r="C232" s="2" t="str">
        <f>Raw_Data!D232</f>
        <v>Consultant</v>
      </c>
      <c r="D232" s="2">
        <f>Raw_Data!F232</f>
        <v>61866</v>
      </c>
      <c r="E232" s="2" t="str">
        <f>Raw_Data!H232</f>
        <v>YEARLY</v>
      </c>
      <c r="F232" s="2">
        <f>Raw_Data!I232</f>
        <v>138</v>
      </c>
      <c r="G232" s="13">
        <f>D232*INDEX(Multiplier_Lookup!$C$6:$C$9,MATCH(E232,Multiplier_Lookup!$B$6:$B$9,0))</f>
        <v>61866</v>
      </c>
      <c r="H232" s="2" t="str">
        <f t="shared" si="3"/>
        <v>Oracle|Consultant</v>
      </c>
    </row>
    <row r="233" spans="1:8" x14ac:dyDescent="0.35">
      <c r="A233" s="2" t="str">
        <f>Raw_Data!A233</f>
        <v>Oracle</v>
      </c>
      <c r="B233" s="2" t="str">
        <f>Raw_Data!C233</f>
        <v>Management</v>
      </c>
      <c r="C233" s="2" t="str">
        <f>Raw_Data!D233</f>
        <v>Director</v>
      </c>
      <c r="D233" s="2">
        <f>Raw_Data!F233</f>
        <v>177724</v>
      </c>
      <c r="E233" s="2" t="str">
        <f>Raw_Data!H233</f>
        <v>YEARLY</v>
      </c>
      <c r="F233" s="2">
        <f>Raw_Data!I233</f>
        <v>148</v>
      </c>
      <c r="G233" s="13">
        <f>D233*INDEX(Multiplier_Lookup!$C$6:$C$9,MATCH(E233,Multiplier_Lookup!$B$6:$B$9,0))</f>
        <v>177724</v>
      </c>
      <c r="H233" s="2" t="str">
        <f t="shared" si="3"/>
        <v>Oracle|Director</v>
      </c>
    </row>
    <row r="234" spans="1:8" x14ac:dyDescent="0.35">
      <c r="A234" s="2" t="str">
        <f>Raw_Data!A234</f>
        <v>Oracle</v>
      </c>
      <c r="B234" s="2" t="str">
        <f>Raw_Data!C234</f>
        <v>Management</v>
      </c>
      <c r="C234" s="2" t="str">
        <f>Raw_Data!D234</f>
        <v>Shift Leader</v>
      </c>
      <c r="D234" s="2">
        <f>Raw_Data!F234</f>
        <v>135893</v>
      </c>
      <c r="E234" s="2" t="str">
        <f>Raw_Data!H234</f>
        <v>YEARLY</v>
      </c>
      <c r="F234" s="2">
        <f>Raw_Data!I234</f>
        <v>103</v>
      </c>
      <c r="G234" s="13">
        <f>D234*INDEX(Multiplier_Lookup!$C$6:$C$9,MATCH(E234,Multiplier_Lookup!$B$6:$B$9,0))</f>
        <v>135893</v>
      </c>
      <c r="H234" s="2" t="str">
        <f t="shared" si="3"/>
        <v>Oracle|Shift Leader</v>
      </c>
    </row>
    <row r="235" spans="1:8" x14ac:dyDescent="0.35">
      <c r="A235" s="2" t="str">
        <f>Raw_Data!A235</f>
        <v>Oracle</v>
      </c>
      <c r="B235" s="2" t="str">
        <f>Raw_Data!C235</f>
        <v>Management</v>
      </c>
      <c r="C235" s="2" t="str">
        <f>Raw_Data!D235</f>
        <v>Development Director</v>
      </c>
      <c r="D235" s="2">
        <f>Raw_Data!F235</f>
        <v>208997</v>
      </c>
      <c r="E235" s="2" t="str">
        <f>Raw_Data!H235</f>
        <v>YEARLY</v>
      </c>
      <c r="F235" s="2">
        <f>Raw_Data!I235</f>
        <v>215</v>
      </c>
      <c r="G235" s="13">
        <f>D235*INDEX(Multiplier_Lookup!$C$6:$C$9,MATCH(E235,Multiplier_Lookup!$B$6:$B$9,0))</f>
        <v>208997</v>
      </c>
      <c r="H235" s="2" t="str">
        <f t="shared" si="3"/>
        <v>Oracle|Development Director</v>
      </c>
    </row>
    <row r="236" spans="1:8" x14ac:dyDescent="0.35">
      <c r="A236" s="2" t="str">
        <f>Raw_Data!A236</f>
        <v>Oracle</v>
      </c>
      <c r="B236" s="2" t="str">
        <f>Raw_Data!C236</f>
        <v>Management</v>
      </c>
      <c r="C236" s="2" t="str">
        <f>Raw_Data!D236</f>
        <v>Senior Consultant</v>
      </c>
      <c r="D236" s="2">
        <f>Raw_Data!F236</f>
        <v>73210</v>
      </c>
      <c r="E236" s="2" t="str">
        <f>Raw_Data!H236</f>
        <v>YEARLY</v>
      </c>
      <c r="F236" s="2">
        <f>Raw_Data!I236</f>
        <v>41</v>
      </c>
      <c r="G236" s="13">
        <f>D236*INDEX(Multiplier_Lookup!$C$6:$C$9,MATCH(E236,Multiplier_Lookup!$B$6:$B$9,0))</f>
        <v>73210</v>
      </c>
      <c r="H236" s="2" t="str">
        <f t="shared" si="3"/>
        <v>Oracle|Senior Consultant</v>
      </c>
    </row>
    <row r="237" spans="1:8" x14ac:dyDescent="0.35">
      <c r="A237" s="2" t="str">
        <f>Raw_Data!A237</f>
        <v>Oracle</v>
      </c>
      <c r="B237" s="2" t="str">
        <f>Raw_Data!C237</f>
        <v>Management</v>
      </c>
      <c r="C237" s="2" t="str">
        <f>Raw_Data!D237</f>
        <v>Associate Consultant</v>
      </c>
      <c r="D237" s="2">
        <f>Raw_Data!F237</f>
        <v>55306</v>
      </c>
      <c r="E237" s="2" t="str">
        <f>Raw_Data!H237</f>
        <v>YEARLY</v>
      </c>
      <c r="F237" s="2">
        <f>Raw_Data!I237</f>
        <v>44</v>
      </c>
      <c r="G237" s="13">
        <f>D237*INDEX(Multiplier_Lookup!$C$6:$C$9,MATCH(E237,Multiplier_Lookup!$B$6:$B$9,0))</f>
        <v>55306</v>
      </c>
      <c r="H237" s="2" t="str">
        <f t="shared" si="3"/>
        <v>Oracle|Associate Consultant</v>
      </c>
    </row>
    <row r="238" spans="1:8" x14ac:dyDescent="0.35">
      <c r="A238" s="2" t="str">
        <f>Raw_Data!A238</f>
        <v>Oracle</v>
      </c>
      <c r="B238" s="2" t="str">
        <f>Raw_Data!C238</f>
        <v>Management</v>
      </c>
      <c r="C238" s="2" t="str">
        <f>Raw_Data!D238</f>
        <v>Principal Consultant</v>
      </c>
      <c r="D238" s="2">
        <f>Raw_Data!F238</f>
        <v>112558</v>
      </c>
      <c r="E238" s="2" t="str">
        <f>Raw_Data!H238</f>
        <v>YEARLY</v>
      </c>
      <c r="F238" s="2">
        <f>Raw_Data!I238</f>
        <v>108</v>
      </c>
      <c r="G238" s="13">
        <f>D238*INDEX(Multiplier_Lookup!$C$6:$C$9,MATCH(E238,Multiplier_Lookup!$B$6:$B$9,0))</f>
        <v>112558</v>
      </c>
      <c r="H238" s="2" t="str">
        <f t="shared" si="3"/>
        <v>Oracle|Principal Consultant</v>
      </c>
    </row>
    <row r="239" spans="1:8" x14ac:dyDescent="0.35">
      <c r="A239" s="2" t="str">
        <f>Raw_Data!A239</f>
        <v>Oracle</v>
      </c>
      <c r="B239" s="2" t="str">
        <f>Raw_Data!C239</f>
        <v>Management</v>
      </c>
      <c r="C239" s="2" t="str">
        <f>Raw_Data!D239</f>
        <v>Senior Principal Consultant</v>
      </c>
      <c r="D239" s="2">
        <f>Raw_Data!F239</f>
        <v>122185</v>
      </c>
      <c r="E239" s="2" t="str">
        <f>Raw_Data!H239</f>
        <v>YEARLY</v>
      </c>
      <c r="F239" s="2">
        <f>Raw_Data!I239</f>
        <v>144</v>
      </c>
      <c r="G239" s="13">
        <f>D239*INDEX(Multiplier_Lookup!$C$6:$C$9,MATCH(E239,Multiplier_Lookup!$B$6:$B$9,0))</f>
        <v>122185</v>
      </c>
      <c r="H239" s="2" t="str">
        <f t="shared" si="3"/>
        <v>Oracle|Senior Principal Consultant</v>
      </c>
    </row>
    <row r="240" spans="1:8" x14ac:dyDescent="0.35">
      <c r="A240" s="2" t="str">
        <f>Raw_Data!A240</f>
        <v>Oracle</v>
      </c>
      <c r="B240" s="2" t="str">
        <f>Raw_Data!C240</f>
        <v>Management</v>
      </c>
      <c r="C240" s="2" t="str">
        <f>Raw_Data!D240</f>
        <v>Business Development Manager</v>
      </c>
      <c r="D240" s="2">
        <f>Raw_Data!F240</f>
        <v>151833</v>
      </c>
      <c r="E240" s="2" t="str">
        <f>Raw_Data!H240</f>
        <v>YEARLY</v>
      </c>
      <c r="F240" s="2">
        <f>Raw_Data!I240</f>
        <v>12</v>
      </c>
      <c r="G240" s="13">
        <f>D240*INDEX(Multiplier_Lookup!$C$6:$C$9,MATCH(E240,Multiplier_Lookup!$B$6:$B$9,0))</f>
        <v>151833</v>
      </c>
      <c r="H240" s="2" t="str">
        <f t="shared" si="3"/>
        <v>Oracle|Business Development Manager</v>
      </c>
    </row>
    <row r="241" spans="1:8" x14ac:dyDescent="0.35">
      <c r="A241" s="2" t="str">
        <f>Raw_Data!A241</f>
        <v>Oracle</v>
      </c>
      <c r="B241" s="2" t="str">
        <f>Raw_Data!C241</f>
        <v>Management</v>
      </c>
      <c r="C241" s="2" t="str">
        <f>Raw_Data!D241</f>
        <v>Product Strategy Manager</v>
      </c>
      <c r="D241" s="2">
        <f>Raw_Data!F241</f>
        <v>170348</v>
      </c>
      <c r="E241" s="2" t="str">
        <f>Raw_Data!H241</f>
        <v>YEARLY</v>
      </c>
      <c r="F241" s="2">
        <f>Raw_Data!I241</f>
        <v>108</v>
      </c>
      <c r="G241" s="13">
        <f>D241*INDEX(Multiplier_Lookup!$C$6:$C$9,MATCH(E241,Multiplier_Lookup!$B$6:$B$9,0))</f>
        <v>170348</v>
      </c>
      <c r="H241" s="2" t="str">
        <f t="shared" si="3"/>
        <v>Oracle|Product Strategy Manager</v>
      </c>
    </row>
    <row r="242" spans="1:8" x14ac:dyDescent="0.35">
      <c r="A242" s="2" t="str">
        <f>Raw_Data!A242</f>
        <v>HP</v>
      </c>
      <c r="B242" s="2" t="str">
        <f>Raw_Data!C242</f>
        <v>Medical Technician</v>
      </c>
      <c r="C242" s="2" t="str">
        <f>Raw_Data!D242</f>
        <v>Surgical Technologist</v>
      </c>
      <c r="D242" s="2">
        <f>Raw_Data!F242</f>
        <v>49.76</v>
      </c>
      <c r="E242" s="2" t="str">
        <f>Raw_Data!H242</f>
        <v>HOURLY</v>
      </c>
      <c r="F242" s="2">
        <f>Raw_Data!I242</f>
        <v>4</v>
      </c>
      <c r="G242" s="13">
        <f>D242*INDEX(Multiplier_Lookup!$C$6:$C$9,MATCH(E242,Multiplier_Lookup!$B$6:$B$9,0))</f>
        <v>103500.8</v>
      </c>
      <c r="H242" s="2" t="str">
        <f t="shared" si="3"/>
        <v>HP|Surgical Technologist</v>
      </c>
    </row>
    <row r="243" spans="1:8" x14ac:dyDescent="0.35">
      <c r="A243" s="2" t="str">
        <f>Raw_Data!A243</f>
        <v>HP</v>
      </c>
      <c r="B243" s="2" t="str">
        <f>Raw_Data!C243</f>
        <v>Medical Technician</v>
      </c>
      <c r="C243" s="2" t="str">
        <f>Raw_Data!D243</f>
        <v>Sterile Processing Technician</v>
      </c>
      <c r="D243" s="2">
        <f>Raw_Data!F243</f>
        <v>27.28</v>
      </c>
      <c r="E243" s="2" t="str">
        <f>Raw_Data!H243</f>
        <v>HOURLY</v>
      </c>
      <c r="F243" s="2">
        <f>Raw_Data!I243</f>
        <v>7</v>
      </c>
      <c r="G243" s="13">
        <f>D243*INDEX(Multiplier_Lookup!$C$6:$C$9,MATCH(E243,Multiplier_Lookup!$B$6:$B$9,0))</f>
        <v>56742.400000000001</v>
      </c>
      <c r="H243" s="2" t="str">
        <f t="shared" si="3"/>
        <v>HP|Sterile Processing Technician</v>
      </c>
    </row>
    <row r="244" spans="1:8" x14ac:dyDescent="0.35">
      <c r="A244" s="2" t="str">
        <f>Raw_Data!A244</f>
        <v>HP</v>
      </c>
      <c r="B244" s="2" t="str">
        <f>Raw_Data!C244</f>
        <v>Medical Technician</v>
      </c>
      <c r="C244" s="2" t="str">
        <f>Raw_Data!D244</f>
        <v>Phlebotomist</v>
      </c>
      <c r="D244" s="2">
        <f>Raw_Data!F244</f>
        <v>23.53</v>
      </c>
      <c r="E244" s="2" t="str">
        <f>Raw_Data!H244</f>
        <v>HOURLY</v>
      </c>
      <c r="F244" s="2">
        <f>Raw_Data!I244</f>
        <v>4</v>
      </c>
      <c r="G244" s="13">
        <f>D244*INDEX(Multiplier_Lookup!$C$6:$C$9,MATCH(E244,Multiplier_Lookup!$B$6:$B$9,0))</f>
        <v>48942.400000000001</v>
      </c>
      <c r="H244" s="2" t="str">
        <f t="shared" si="3"/>
        <v>HP|Phlebotomist</v>
      </c>
    </row>
    <row r="245" spans="1:8" x14ac:dyDescent="0.35">
      <c r="A245" s="2" t="str">
        <f>Raw_Data!A245</f>
        <v>HP</v>
      </c>
      <c r="B245" s="2" t="str">
        <f>Raw_Data!C245</f>
        <v>Medical Technician</v>
      </c>
      <c r="C245" s="2" t="str">
        <f>Raw_Data!D245</f>
        <v>Respiratory Therapist</v>
      </c>
      <c r="D245" s="2">
        <f>Raw_Data!F245</f>
        <v>72.12</v>
      </c>
      <c r="E245" s="2" t="str">
        <f>Raw_Data!H245</f>
        <v>HOURLY</v>
      </c>
      <c r="F245" s="2">
        <f>Raw_Data!I245</f>
        <v>2</v>
      </c>
      <c r="G245" s="13">
        <f>D245*INDEX(Multiplier_Lookup!$C$6:$C$9,MATCH(E245,Multiplier_Lookup!$B$6:$B$9,0))</f>
        <v>150009.60000000001</v>
      </c>
      <c r="H245" s="2" t="str">
        <f t="shared" si="3"/>
        <v>HP|Respiratory Therapist</v>
      </c>
    </row>
    <row r="246" spans="1:8" x14ac:dyDescent="0.35">
      <c r="A246" s="2" t="str">
        <f>Raw_Data!A246</f>
        <v>HP</v>
      </c>
      <c r="B246" s="2" t="str">
        <f>Raw_Data!C246</f>
        <v>Medical Technician</v>
      </c>
      <c r="C246" s="2" t="str">
        <f>Raw_Data!D246</f>
        <v>Patient Care Technician</v>
      </c>
      <c r="D246" s="2">
        <f>Raw_Data!F246</f>
        <v>24.91</v>
      </c>
      <c r="E246" s="2" t="str">
        <f>Raw_Data!H246</f>
        <v>HOURLY</v>
      </c>
      <c r="F246" s="2">
        <f>Raw_Data!I246</f>
        <v>3</v>
      </c>
      <c r="G246" s="13">
        <f>D246*INDEX(Multiplier_Lookup!$C$6:$C$9,MATCH(E246,Multiplier_Lookup!$B$6:$B$9,0))</f>
        <v>51812.800000000003</v>
      </c>
      <c r="H246" s="2" t="str">
        <f t="shared" si="3"/>
        <v>HP|Patient Care Technician</v>
      </c>
    </row>
    <row r="247" spans="1:8" x14ac:dyDescent="0.35">
      <c r="A247" s="2" t="str">
        <f>Raw_Data!A247</f>
        <v>HP</v>
      </c>
      <c r="B247" s="2" t="str">
        <f>Raw_Data!C247</f>
        <v>Medical Technician</v>
      </c>
      <c r="C247" s="2" t="str">
        <f>Raw_Data!D247</f>
        <v>Certified Medical Assistant</v>
      </c>
      <c r="D247" s="2">
        <f>Raw_Data!F247</f>
        <v>23.1</v>
      </c>
      <c r="E247" s="2" t="str">
        <f>Raw_Data!H247</f>
        <v>HOURLY</v>
      </c>
      <c r="F247" s="2">
        <f>Raw_Data!I247</f>
        <v>2</v>
      </c>
      <c r="G247" s="13">
        <f>D247*INDEX(Multiplier_Lookup!$C$6:$C$9,MATCH(E247,Multiplier_Lookup!$B$6:$B$9,0))</f>
        <v>48048</v>
      </c>
      <c r="H247" s="2" t="str">
        <f t="shared" si="3"/>
        <v>HP|Certified Medical Assistant</v>
      </c>
    </row>
    <row r="248" spans="1:8" x14ac:dyDescent="0.35">
      <c r="A248" s="2" t="str">
        <f>Raw_Data!A248</f>
        <v>HP</v>
      </c>
      <c r="B248" s="2" t="str">
        <f>Raw_Data!C248</f>
        <v>Medical Technician</v>
      </c>
      <c r="C248" s="2" t="str">
        <f>Raw_Data!D248</f>
        <v>X-ray Technician</v>
      </c>
      <c r="D248" s="2">
        <f>Raw_Data!F248</f>
        <v>44.27</v>
      </c>
      <c r="E248" s="2" t="str">
        <f>Raw_Data!H248</f>
        <v>HOURLY</v>
      </c>
      <c r="F248" s="2">
        <f>Raw_Data!I248</f>
        <v>1</v>
      </c>
      <c r="G248" s="13">
        <f>D248*INDEX(Multiplier_Lookup!$C$6:$C$9,MATCH(E248,Multiplier_Lookup!$B$6:$B$9,0))</f>
        <v>92081.600000000006</v>
      </c>
      <c r="H248" s="2" t="str">
        <f t="shared" si="3"/>
        <v>HP|X-ray Technician</v>
      </c>
    </row>
    <row r="249" spans="1:8" x14ac:dyDescent="0.35">
      <c r="A249" s="2" t="str">
        <f>Raw_Data!A249</f>
        <v>HP</v>
      </c>
      <c r="B249" s="2" t="str">
        <f>Raw_Data!C249</f>
        <v>Medical Technician</v>
      </c>
      <c r="C249" s="2" t="str">
        <f>Raw_Data!D249</f>
        <v>Telemetry Technician</v>
      </c>
      <c r="D249" s="2">
        <f>Raw_Data!F249</f>
        <v>49.75</v>
      </c>
      <c r="E249" s="2" t="str">
        <f>Raw_Data!H249</f>
        <v>HOURLY</v>
      </c>
      <c r="F249" s="2">
        <f>Raw_Data!I249</f>
        <v>1</v>
      </c>
      <c r="G249" s="13">
        <f>D249*INDEX(Multiplier_Lookup!$C$6:$C$9,MATCH(E249,Multiplier_Lookup!$B$6:$B$9,0))</f>
        <v>103480</v>
      </c>
      <c r="H249" s="2" t="str">
        <f t="shared" si="3"/>
        <v>HP|Telemetry Technician</v>
      </c>
    </row>
    <row r="250" spans="1:8" x14ac:dyDescent="0.35">
      <c r="A250" s="2" t="str">
        <f>Raw_Data!A250</f>
        <v>HP</v>
      </c>
      <c r="B250" s="2" t="str">
        <f>Raw_Data!C250</f>
        <v>Medical Technician</v>
      </c>
      <c r="C250" s="2" t="str">
        <f>Raw_Data!D250</f>
        <v>Radiologic Technologist</v>
      </c>
      <c r="D250" s="2">
        <f>Raw_Data!F250</f>
        <v>31.64</v>
      </c>
      <c r="E250" s="2" t="str">
        <f>Raw_Data!H250</f>
        <v>HOURLY</v>
      </c>
      <c r="F250" s="2">
        <f>Raw_Data!I250</f>
        <v>1</v>
      </c>
      <c r="G250" s="13">
        <f>D250*INDEX(Multiplier_Lookup!$C$6:$C$9,MATCH(E250,Multiplier_Lookup!$B$6:$B$9,0))</f>
        <v>65811.199999999997</v>
      </c>
      <c r="H250" s="2" t="str">
        <f t="shared" si="3"/>
        <v>HP|Radiologic Technologist</v>
      </c>
    </row>
    <row r="251" spans="1:8" x14ac:dyDescent="0.35">
      <c r="A251" s="2" t="str">
        <f>Raw_Data!A251</f>
        <v>HP</v>
      </c>
      <c r="B251" s="2" t="str">
        <f>Raw_Data!C251</f>
        <v>Medical Technician</v>
      </c>
      <c r="C251" s="2" t="str">
        <f>Raw_Data!D251</f>
        <v>Paramedic</v>
      </c>
      <c r="D251" s="2">
        <f>Raw_Data!F251</f>
        <v>22.74</v>
      </c>
      <c r="E251" s="2" t="str">
        <f>Raw_Data!H251</f>
        <v>HOURLY</v>
      </c>
      <c r="F251" s="2">
        <f>Raw_Data!I251</f>
        <v>1</v>
      </c>
      <c r="G251" s="13">
        <f>D251*INDEX(Multiplier_Lookup!$C$6:$C$9,MATCH(E251,Multiplier_Lookup!$B$6:$B$9,0))</f>
        <v>47299.199999999997</v>
      </c>
      <c r="H251" s="2" t="str">
        <f t="shared" si="3"/>
        <v>HP|Paramedic</v>
      </c>
    </row>
    <row r="252" spans="1:8" x14ac:dyDescent="0.35">
      <c r="A252" s="2" t="str">
        <f>Raw_Data!A252</f>
        <v>Verizon</v>
      </c>
      <c r="B252" s="2" t="str">
        <f>Raw_Data!C252</f>
        <v>Management</v>
      </c>
      <c r="C252" s="2" t="str">
        <f>Raw_Data!D252</f>
        <v>Manager</v>
      </c>
      <c r="D252" s="2">
        <f>Raw_Data!F252</f>
        <v>131928</v>
      </c>
      <c r="E252" s="2" t="str">
        <f>Raw_Data!H252</f>
        <v>YEARLY</v>
      </c>
      <c r="F252" s="2">
        <f>Raw_Data!I252</f>
        <v>5</v>
      </c>
      <c r="G252" s="13">
        <f>D252*INDEX(Multiplier_Lookup!$C$6:$C$9,MATCH(E252,Multiplier_Lookup!$B$6:$B$9,0))</f>
        <v>131928</v>
      </c>
      <c r="H252" s="2" t="str">
        <f t="shared" si="3"/>
        <v>Verizon|Manager</v>
      </c>
    </row>
    <row r="253" spans="1:8" x14ac:dyDescent="0.35">
      <c r="A253" s="2" t="str">
        <f>Raw_Data!A253</f>
        <v>Verizon</v>
      </c>
      <c r="B253" s="2" t="str">
        <f>Raw_Data!C253</f>
        <v>Management</v>
      </c>
      <c r="C253" s="2" t="str">
        <f>Raw_Data!D253</f>
        <v>Consultant</v>
      </c>
      <c r="D253" s="2">
        <f>Raw_Data!F253</f>
        <v>94525</v>
      </c>
      <c r="E253" s="2" t="str">
        <f>Raw_Data!H253</f>
        <v>YEARLY</v>
      </c>
      <c r="F253" s="2">
        <f>Raw_Data!I253</f>
        <v>8</v>
      </c>
      <c r="G253" s="13">
        <f>D253*INDEX(Multiplier_Lookup!$C$6:$C$9,MATCH(E253,Multiplier_Lookup!$B$6:$B$9,0))</f>
        <v>94525</v>
      </c>
      <c r="H253" s="2" t="str">
        <f t="shared" si="3"/>
        <v>Verizon|Consultant</v>
      </c>
    </row>
    <row r="254" spans="1:8" x14ac:dyDescent="0.35">
      <c r="A254" s="2" t="str">
        <f>Raw_Data!A254</f>
        <v>Verizon</v>
      </c>
      <c r="B254" s="2" t="str">
        <f>Raw_Data!C254</f>
        <v>Management</v>
      </c>
      <c r="C254" s="2" t="str">
        <f>Raw_Data!D254</f>
        <v>Senior Manager</v>
      </c>
      <c r="D254" s="2">
        <f>Raw_Data!F254</f>
        <v>152558</v>
      </c>
      <c r="E254" s="2" t="str">
        <f>Raw_Data!H254</f>
        <v>YEARLY</v>
      </c>
      <c r="F254" s="2">
        <f>Raw_Data!I254</f>
        <v>5</v>
      </c>
      <c r="G254" s="13">
        <f>D254*INDEX(Multiplier_Lookup!$C$6:$C$9,MATCH(E254,Multiplier_Lookup!$B$6:$B$9,0))</f>
        <v>152558</v>
      </c>
      <c r="H254" s="2" t="str">
        <f t="shared" si="3"/>
        <v>Verizon|Senior Manager</v>
      </c>
    </row>
    <row r="255" spans="1:8" x14ac:dyDescent="0.35">
      <c r="A255" s="2" t="str">
        <f>Raw_Data!A255</f>
        <v>Verizon</v>
      </c>
      <c r="B255" s="2" t="str">
        <f>Raw_Data!C255</f>
        <v>Management</v>
      </c>
      <c r="C255" s="2" t="str">
        <f>Raw_Data!D255</f>
        <v>Director</v>
      </c>
      <c r="D255" s="2">
        <f>Raw_Data!F255</f>
        <v>178446</v>
      </c>
      <c r="E255" s="2" t="str">
        <f>Raw_Data!H255</f>
        <v>YEARLY</v>
      </c>
      <c r="F255" s="2">
        <f>Raw_Data!I255</f>
        <v>8</v>
      </c>
      <c r="G255" s="13">
        <f>D255*INDEX(Multiplier_Lookup!$C$6:$C$9,MATCH(E255,Multiplier_Lookup!$B$6:$B$9,0))</f>
        <v>178446</v>
      </c>
      <c r="H255" s="2" t="str">
        <f t="shared" si="3"/>
        <v>Verizon|Director</v>
      </c>
    </row>
    <row r="256" spans="1:8" x14ac:dyDescent="0.35">
      <c r="A256" s="2" t="str">
        <f>Raw_Data!A256</f>
        <v>Verizon</v>
      </c>
      <c r="B256" s="2" t="str">
        <f>Raw_Data!C256</f>
        <v>Management</v>
      </c>
      <c r="C256" s="2" t="str">
        <f>Raw_Data!D256</f>
        <v>Associate Director</v>
      </c>
      <c r="D256" s="2">
        <f>Raw_Data!F256</f>
        <v>186526</v>
      </c>
      <c r="E256" s="2" t="str">
        <f>Raw_Data!H256</f>
        <v>YEARLY</v>
      </c>
      <c r="F256" s="2">
        <f>Raw_Data!I256</f>
        <v>5</v>
      </c>
      <c r="G256" s="13">
        <f>D256*INDEX(Multiplier_Lookup!$C$6:$C$9,MATCH(E256,Multiplier_Lookup!$B$6:$B$9,0))</f>
        <v>186526</v>
      </c>
      <c r="H256" s="2" t="str">
        <f t="shared" si="3"/>
        <v>Verizon|Associate Director</v>
      </c>
    </row>
    <row r="257" spans="1:8" x14ac:dyDescent="0.35">
      <c r="A257" s="2" t="str">
        <f>Raw_Data!A257</f>
        <v>Verizon</v>
      </c>
      <c r="B257" s="2" t="str">
        <f>Raw_Data!C257</f>
        <v>Management</v>
      </c>
      <c r="C257" s="2" t="str">
        <f>Raw_Data!D257</f>
        <v>Solutions Manager</v>
      </c>
      <c r="D257" s="2">
        <f>Raw_Data!F257</f>
        <v>53009</v>
      </c>
      <c r="E257" s="2" t="str">
        <f>Raw_Data!H257</f>
        <v>YEARLY</v>
      </c>
      <c r="F257" s="2">
        <f>Raw_Data!I257</f>
        <v>32</v>
      </c>
      <c r="G257" s="13">
        <f>D257*INDEX(Multiplier_Lookup!$C$6:$C$9,MATCH(E257,Multiplier_Lookup!$B$6:$B$9,0))</f>
        <v>53009</v>
      </c>
      <c r="H257" s="2" t="str">
        <f t="shared" si="3"/>
        <v>Verizon|Solutions Manager</v>
      </c>
    </row>
    <row r="258" spans="1:8" x14ac:dyDescent="0.35">
      <c r="A258" s="2" t="str">
        <f>Raw_Data!A258</f>
        <v>Verizon</v>
      </c>
      <c r="B258" s="2" t="str">
        <f>Raw_Data!C258</f>
        <v>Management</v>
      </c>
      <c r="C258" s="2" t="str">
        <f>Raw_Data!D258</f>
        <v>General Manager</v>
      </c>
      <c r="D258" s="2">
        <f>Raw_Data!F258</f>
        <v>71523</v>
      </c>
      <c r="E258" s="2" t="str">
        <f>Raw_Data!H258</f>
        <v>YEARLY</v>
      </c>
      <c r="F258" s="2">
        <f>Raw_Data!I258</f>
        <v>26</v>
      </c>
      <c r="G258" s="13">
        <f>D258*INDEX(Multiplier_Lookup!$C$6:$C$9,MATCH(E258,Multiplier_Lookup!$B$6:$B$9,0))</f>
        <v>71523</v>
      </c>
      <c r="H258" s="2" t="str">
        <f t="shared" ref="H258:H321" si="4">A258&amp;"|"&amp;C258</f>
        <v>Verizon|General Manager</v>
      </c>
    </row>
    <row r="259" spans="1:8" x14ac:dyDescent="0.35">
      <c r="A259" s="2" t="str">
        <f>Raw_Data!A259</f>
        <v>Verizon</v>
      </c>
      <c r="B259" s="2" t="str">
        <f>Raw_Data!C259</f>
        <v>Management</v>
      </c>
      <c r="C259" s="2" t="str">
        <f>Raw_Data!D259</f>
        <v>Assistant Manager</v>
      </c>
      <c r="D259" s="2">
        <f>Raw_Data!F259</f>
        <v>54439</v>
      </c>
      <c r="E259" s="2" t="str">
        <f>Raw_Data!H259</f>
        <v>YEARLY</v>
      </c>
      <c r="F259" s="2">
        <f>Raw_Data!I259</f>
        <v>9</v>
      </c>
      <c r="G259" s="13">
        <f>D259*INDEX(Multiplier_Lookup!$C$6:$C$9,MATCH(E259,Multiplier_Lookup!$B$6:$B$9,0))</f>
        <v>54439</v>
      </c>
      <c r="H259" s="2" t="str">
        <f t="shared" si="4"/>
        <v>Verizon|Assistant Manager</v>
      </c>
    </row>
    <row r="260" spans="1:8" x14ac:dyDescent="0.35">
      <c r="A260" s="2" t="str">
        <f>Raw_Data!A260</f>
        <v>Verizon</v>
      </c>
      <c r="B260" s="2" t="str">
        <f>Raw_Data!C260</f>
        <v>Management</v>
      </c>
      <c r="C260" s="2" t="str">
        <f>Raw_Data!D260</f>
        <v>Transformation Manager</v>
      </c>
      <c r="D260" s="2">
        <f>Raw_Data!F260</f>
        <v>145968</v>
      </c>
      <c r="E260" s="2" t="str">
        <f>Raw_Data!H260</f>
        <v>YEARLY</v>
      </c>
      <c r="F260" s="2">
        <f>Raw_Data!I260</f>
        <v>7</v>
      </c>
      <c r="G260" s="13">
        <f>D260*INDEX(Multiplier_Lookup!$C$6:$C$9,MATCH(E260,Multiplier_Lookup!$B$6:$B$9,0))</f>
        <v>145968</v>
      </c>
      <c r="H260" s="2" t="str">
        <f t="shared" si="4"/>
        <v>Verizon|Transformation Manager</v>
      </c>
    </row>
    <row r="261" spans="1:8" x14ac:dyDescent="0.35">
      <c r="A261" s="2" t="str">
        <f>Raw_Data!A261</f>
        <v>Verizon</v>
      </c>
      <c r="B261" s="2" t="str">
        <f>Raw_Data!C261</f>
        <v>Management</v>
      </c>
      <c r="C261" s="2" t="str">
        <f>Raw_Data!D261</f>
        <v>Manager in Training</v>
      </c>
      <c r="D261" s="2">
        <f>Raw_Data!F261</f>
        <v>44091</v>
      </c>
      <c r="E261" s="2" t="str">
        <f>Raw_Data!H261</f>
        <v>YEARLY</v>
      </c>
      <c r="F261" s="2">
        <f>Raw_Data!I261</f>
        <v>7</v>
      </c>
      <c r="G261" s="13">
        <f>D261*INDEX(Multiplier_Lookup!$C$6:$C$9,MATCH(E261,Multiplier_Lookup!$B$6:$B$9,0))</f>
        <v>44091</v>
      </c>
      <c r="H261" s="2" t="str">
        <f t="shared" si="4"/>
        <v>Verizon|Manager in Training</v>
      </c>
    </row>
    <row r="262" spans="1:8" x14ac:dyDescent="0.35">
      <c r="A262" s="2" t="str">
        <f>Raw_Data!A262</f>
        <v>AT&amp;T</v>
      </c>
      <c r="B262" s="2" t="str">
        <f>Raw_Data!C262</f>
        <v>Management</v>
      </c>
      <c r="C262" s="2" t="str">
        <f>Raw_Data!D262</f>
        <v>Manager in Training</v>
      </c>
      <c r="D262" s="2">
        <f>Raw_Data!F262</f>
        <v>51072</v>
      </c>
      <c r="E262" s="2" t="str">
        <f>Raw_Data!H262</f>
        <v>YEARLY</v>
      </c>
      <c r="F262" s="2">
        <f>Raw_Data!I262</f>
        <v>2</v>
      </c>
      <c r="G262" s="13">
        <f>D262*INDEX(Multiplier_Lookup!$C$6:$C$9,MATCH(E262,Multiplier_Lookup!$B$6:$B$9,0))</f>
        <v>51072</v>
      </c>
      <c r="H262" s="2" t="str">
        <f t="shared" si="4"/>
        <v>AT&amp;T|Manager in Training</v>
      </c>
    </row>
    <row r="263" spans="1:8" x14ac:dyDescent="0.35">
      <c r="A263" s="2" t="str">
        <f>Raw_Data!A263</f>
        <v>AT&amp;T</v>
      </c>
      <c r="B263" s="2" t="str">
        <f>Raw_Data!C263</f>
        <v>Management</v>
      </c>
      <c r="C263" s="2" t="str">
        <f>Raw_Data!D263</f>
        <v>Manager</v>
      </c>
      <c r="D263" s="2">
        <f>Raw_Data!F263</f>
        <v>106504</v>
      </c>
      <c r="E263" s="2" t="str">
        <f>Raw_Data!H263</f>
        <v>YEARLY</v>
      </c>
      <c r="F263" s="2">
        <f>Raw_Data!I263</f>
        <v>13</v>
      </c>
      <c r="G263" s="13">
        <f>D263*INDEX(Multiplier_Lookup!$C$6:$C$9,MATCH(E263,Multiplier_Lookup!$B$6:$B$9,0))</f>
        <v>106504</v>
      </c>
      <c r="H263" s="2" t="str">
        <f t="shared" si="4"/>
        <v>AT&amp;T|Manager</v>
      </c>
    </row>
    <row r="264" spans="1:8" x14ac:dyDescent="0.35">
      <c r="A264" s="2" t="str">
        <f>Raw_Data!A264</f>
        <v>AT&amp;T</v>
      </c>
      <c r="B264" s="2" t="str">
        <f>Raw_Data!C264</f>
        <v>Management</v>
      </c>
      <c r="C264" s="2" t="str">
        <f>Raw_Data!D264</f>
        <v>Associate Director</v>
      </c>
      <c r="D264" s="2">
        <f>Raw_Data!F264</f>
        <v>155600</v>
      </c>
      <c r="E264" s="2" t="str">
        <f>Raw_Data!H264</f>
        <v>YEARLY</v>
      </c>
      <c r="F264" s="2">
        <f>Raw_Data!I264</f>
        <v>26</v>
      </c>
      <c r="G264" s="13">
        <f>D264*INDEX(Multiplier_Lookup!$C$6:$C$9,MATCH(E264,Multiplier_Lookup!$B$6:$B$9,0))</f>
        <v>155600</v>
      </c>
      <c r="H264" s="2" t="str">
        <f t="shared" si="4"/>
        <v>AT&amp;T|Associate Director</v>
      </c>
    </row>
    <row r="265" spans="1:8" x14ac:dyDescent="0.35">
      <c r="A265" s="2" t="str">
        <f>Raw_Data!A265</f>
        <v>AT&amp;T</v>
      </c>
      <c r="B265" s="2" t="str">
        <f>Raw_Data!C265</f>
        <v>Management</v>
      </c>
      <c r="C265" s="2" t="str">
        <f>Raw_Data!D265</f>
        <v>Director</v>
      </c>
      <c r="D265" s="2">
        <f>Raw_Data!F265</f>
        <v>171309</v>
      </c>
      <c r="E265" s="2" t="str">
        <f>Raw_Data!H265</f>
        <v>YEARLY</v>
      </c>
      <c r="F265" s="2">
        <f>Raw_Data!I265</f>
        <v>16</v>
      </c>
      <c r="G265" s="13">
        <f>D265*INDEX(Multiplier_Lookup!$C$6:$C$9,MATCH(E265,Multiplier_Lookup!$B$6:$B$9,0))</f>
        <v>171309</v>
      </c>
      <c r="H265" s="2" t="str">
        <f t="shared" si="4"/>
        <v>AT&amp;T|Director</v>
      </c>
    </row>
    <row r="266" spans="1:8" x14ac:dyDescent="0.35">
      <c r="A266" s="2" t="str">
        <f>Raw_Data!A266</f>
        <v>AT&amp;T</v>
      </c>
      <c r="B266" s="2" t="str">
        <f>Raw_Data!C266</f>
        <v>Management</v>
      </c>
      <c r="C266" s="2" t="str">
        <f>Raw_Data!D266</f>
        <v>Assistant Manager</v>
      </c>
      <c r="D266" s="2">
        <f>Raw_Data!F266</f>
        <v>58731</v>
      </c>
      <c r="E266" s="2" t="str">
        <f>Raw_Data!H266</f>
        <v>YEARLY</v>
      </c>
      <c r="F266" s="2">
        <f>Raw_Data!I266</f>
        <v>10</v>
      </c>
      <c r="G266" s="13">
        <f>D266*INDEX(Multiplier_Lookup!$C$6:$C$9,MATCH(E266,Multiplier_Lookup!$B$6:$B$9,0))</f>
        <v>58731</v>
      </c>
      <c r="H266" s="2" t="str">
        <f t="shared" si="4"/>
        <v>AT&amp;T|Assistant Manager</v>
      </c>
    </row>
    <row r="267" spans="1:8" x14ac:dyDescent="0.35">
      <c r="A267" s="2" t="str">
        <f>Raw_Data!A267</f>
        <v>AT&amp;T</v>
      </c>
      <c r="B267" s="2" t="str">
        <f>Raw_Data!C267</f>
        <v>Management</v>
      </c>
      <c r="C267" s="2" t="str">
        <f>Raw_Data!D267</f>
        <v>Commissioner</v>
      </c>
      <c r="D267" s="2">
        <f>Raw_Data!F267</f>
        <v>43597</v>
      </c>
      <c r="E267" s="2" t="str">
        <f>Raw_Data!H267</f>
        <v>YEARLY</v>
      </c>
      <c r="F267" s="2">
        <f>Raw_Data!I267</f>
        <v>23</v>
      </c>
      <c r="G267" s="13">
        <f>D267*INDEX(Multiplier_Lookup!$C$6:$C$9,MATCH(E267,Multiplier_Lookup!$B$6:$B$9,0))</f>
        <v>43597</v>
      </c>
      <c r="H267" s="2" t="str">
        <f t="shared" si="4"/>
        <v>AT&amp;T|Commissioner</v>
      </c>
    </row>
    <row r="268" spans="1:8" x14ac:dyDescent="0.35">
      <c r="A268" s="2" t="str">
        <f>Raw_Data!A268</f>
        <v>AT&amp;T</v>
      </c>
      <c r="B268" s="2" t="str">
        <f>Raw_Data!C268</f>
        <v>Management</v>
      </c>
      <c r="C268" s="2" t="str">
        <f>Raw_Data!D268</f>
        <v>Assistant Vice President</v>
      </c>
      <c r="D268" s="2">
        <f>Raw_Data!F268</f>
        <v>213233</v>
      </c>
      <c r="E268" s="2" t="str">
        <f>Raw_Data!H268</f>
        <v>YEARLY</v>
      </c>
      <c r="F268" s="2">
        <f>Raw_Data!I268</f>
        <v>10</v>
      </c>
      <c r="G268" s="13">
        <f>D268*INDEX(Multiplier_Lookup!$C$6:$C$9,MATCH(E268,Multiplier_Lookup!$B$6:$B$9,0))</f>
        <v>213233</v>
      </c>
      <c r="H268" s="2" t="str">
        <f t="shared" si="4"/>
        <v>AT&amp;T|Assistant Vice President</v>
      </c>
    </row>
    <row r="269" spans="1:8" x14ac:dyDescent="0.35">
      <c r="A269" s="2" t="str">
        <f>Raw_Data!A269</f>
        <v>AT&amp;T</v>
      </c>
      <c r="B269" s="2" t="str">
        <f>Raw_Data!C269</f>
        <v>Management</v>
      </c>
      <c r="C269" s="2" t="str">
        <f>Raw_Data!D269</f>
        <v>Shift Leader</v>
      </c>
      <c r="D269" s="2">
        <f>Raw_Data!F269</f>
        <v>145904</v>
      </c>
      <c r="E269" s="2" t="str">
        <f>Raw_Data!H269</f>
        <v>YEARLY</v>
      </c>
      <c r="F269" s="2">
        <f>Raw_Data!I269</f>
        <v>9</v>
      </c>
      <c r="G269" s="13">
        <f>D269*INDEX(Multiplier_Lookup!$C$6:$C$9,MATCH(E269,Multiplier_Lookup!$B$6:$B$9,0))</f>
        <v>145904</v>
      </c>
      <c r="H269" s="2" t="str">
        <f t="shared" si="4"/>
        <v>AT&amp;T|Shift Leader</v>
      </c>
    </row>
    <row r="270" spans="1:8" x14ac:dyDescent="0.35">
      <c r="A270" s="2" t="str">
        <f>Raw_Data!A270</f>
        <v>AT&amp;T</v>
      </c>
      <c r="B270" s="2" t="str">
        <f>Raw_Data!C270</f>
        <v>Management</v>
      </c>
      <c r="C270" s="2" t="str">
        <f>Raw_Data!D270</f>
        <v>Area Manager</v>
      </c>
      <c r="D270" s="2">
        <f>Raw_Data!F270</f>
        <v>85110</v>
      </c>
      <c r="E270" s="2" t="str">
        <f>Raw_Data!H270</f>
        <v>YEARLY</v>
      </c>
      <c r="F270" s="2">
        <f>Raw_Data!I270</f>
        <v>10</v>
      </c>
      <c r="G270" s="13">
        <f>D270*INDEX(Multiplier_Lookup!$C$6:$C$9,MATCH(E270,Multiplier_Lookup!$B$6:$B$9,0))</f>
        <v>85110</v>
      </c>
      <c r="H270" s="2" t="str">
        <f t="shared" si="4"/>
        <v>AT&amp;T|Area Manager</v>
      </c>
    </row>
    <row r="271" spans="1:8" x14ac:dyDescent="0.35">
      <c r="A271" s="2" t="str">
        <f>Raw_Data!A271</f>
        <v>AT&amp;T</v>
      </c>
      <c r="B271" s="2" t="str">
        <f>Raw_Data!C271</f>
        <v>Management</v>
      </c>
      <c r="C271" s="2" t="str">
        <f>Raw_Data!D271</f>
        <v>Technical Manager</v>
      </c>
      <c r="D271" s="2">
        <f>Raw_Data!F271</f>
        <v>90050</v>
      </c>
      <c r="E271" s="2" t="str">
        <f>Raw_Data!H271</f>
        <v>YEARLY</v>
      </c>
      <c r="F271" s="2">
        <f>Raw_Data!I271</f>
        <v>8</v>
      </c>
      <c r="G271" s="13">
        <f>D271*INDEX(Multiplier_Lookup!$C$6:$C$9,MATCH(E271,Multiplier_Lookup!$B$6:$B$9,0))</f>
        <v>90050</v>
      </c>
      <c r="H271" s="2" t="str">
        <f t="shared" si="4"/>
        <v>AT&amp;T|Technical Manager</v>
      </c>
    </row>
    <row r="272" spans="1:8" x14ac:dyDescent="0.35">
      <c r="A272" s="2" t="str">
        <f>Raw_Data!A272</f>
        <v>T-Mobile Premium Retailers</v>
      </c>
      <c r="B272" s="2" t="str">
        <f>Raw_Data!C272</f>
        <v>Installation &amp; Maintenance</v>
      </c>
      <c r="C272" s="2" t="str">
        <f>Raw_Data!D272</f>
        <v>Mobile Expert</v>
      </c>
      <c r="D272" s="2">
        <f>Raw_Data!F272</f>
        <v>15.64</v>
      </c>
      <c r="E272" s="2" t="str">
        <f>Raw_Data!H272</f>
        <v>HOURLY</v>
      </c>
      <c r="F272" s="2">
        <f>Raw_Data!I272</f>
        <v>276</v>
      </c>
      <c r="G272" s="13">
        <f>D272*INDEX(Multiplier_Lookup!$C$6:$C$9,MATCH(E272,Multiplier_Lookup!$B$6:$B$9,0))</f>
        <v>32531.200000000001</v>
      </c>
      <c r="H272" s="2" t="str">
        <f t="shared" si="4"/>
        <v>T-Mobile Premium Retailers|Mobile Expert</v>
      </c>
    </row>
    <row r="273" spans="1:8" x14ac:dyDescent="0.35">
      <c r="A273" s="2" t="str">
        <f>Raw_Data!A273</f>
        <v>T-Mobile Premium Retailers</v>
      </c>
      <c r="B273" s="2" t="str">
        <f>Raw_Data!C273</f>
        <v>Installation &amp; Maintenance</v>
      </c>
      <c r="C273" s="2" t="str">
        <f>Raw_Data!D273</f>
        <v>Mobile Phone Technician</v>
      </c>
      <c r="D273" s="2">
        <f>Raw_Data!F273</f>
        <v>18.28</v>
      </c>
      <c r="E273" s="2" t="str">
        <f>Raw_Data!H273</f>
        <v>HOURLY</v>
      </c>
      <c r="F273" s="2">
        <f>Raw_Data!I273</f>
        <v>1</v>
      </c>
      <c r="G273" s="13">
        <f>D273*INDEX(Multiplier_Lookup!$C$6:$C$9,MATCH(E273,Multiplier_Lookup!$B$6:$B$9,0))</f>
        <v>38022.400000000001</v>
      </c>
      <c r="H273" s="2" t="str">
        <f t="shared" si="4"/>
        <v>T-Mobile Premium Retailers|Mobile Phone Technician</v>
      </c>
    </row>
    <row r="274" spans="1:8" x14ac:dyDescent="0.35">
      <c r="A274" s="2" t="str">
        <f>Raw_Data!A274</f>
        <v>T-Mobile Premium Retailers</v>
      </c>
      <c r="B274" s="2" t="str">
        <f>Raw_Data!C274</f>
        <v>Installation &amp; Maintenance</v>
      </c>
      <c r="C274" s="2" t="str">
        <f>Raw_Data!D274</f>
        <v>HVAC Technician</v>
      </c>
      <c r="D274" s="2">
        <f>Raw_Data!F274</f>
        <v>16.420000000000002</v>
      </c>
      <c r="E274" s="2" t="str">
        <f>Raw_Data!H274</f>
        <v>HOURLY</v>
      </c>
      <c r="F274" s="2">
        <f>Raw_Data!I274</f>
        <v>3</v>
      </c>
      <c r="G274" s="13">
        <f>D274*INDEX(Multiplier_Lookup!$C$6:$C$9,MATCH(E274,Multiplier_Lookup!$B$6:$B$9,0))</f>
        <v>34153.600000000006</v>
      </c>
      <c r="H274" s="2" t="str">
        <f t="shared" si="4"/>
        <v>T-Mobile Premium Retailers|HVAC Technician</v>
      </c>
    </row>
    <row r="275" spans="1:8" x14ac:dyDescent="0.35">
      <c r="A275" s="2" t="str">
        <f>Raw_Data!A275</f>
        <v>T-Mobile Premium Retailers</v>
      </c>
      <c r="B275" s="2" t="str">
        <f>Raw_Data!C275</f>
        <v>Installation &amp; Maintenance</v>
      </c>
      <c r="C275" s="2" t="str">
        <f>Raw_Data!D275</f>
        <v>Field Technician</v>
      </c>
      <c r="D275" s="2">
        <f>Raw_Data!F275</f>
        <v>18.88</v>
      </c>
      <c r="E275" s="2" t="str">
        <f>Raw_Data!H275</f>
        <v>HOURLY</v>
      </c>
      <c r="F275" s="2">
        <f>Raw_Data!I275</f>
        <v>2</v>
      </c>
      <c r="G275" s="13">
        <f>D275*INDEX(Multiplier_Lookup!$C$6:$C$9,MATCH(E275,Multiplier_Lookup!$B$6:$B$9,0))</f>
        <v>39270.400000000001</v>
      </c>
      <c r="H275" s="2" t="str">
        <f t="shared" si="4"/>
        <v>T-Mobile Premium Retailers|Field Technician</v>
      </c>
    </row>
    <row r="276" spans="1:8" x14ac:dyDescent="0.35">
      <c r="A276" s="2" t="str">
        <f>Raw_Data!A276</f>
        <v>T-Mobile Premium Retailers</v>
      </c>
      <c r="B276" s="2" t="str">
        <f>Raw_Data!C276</f>
        <v>Installation &amp; Maintenance</v>
      </c>
      <c r="C276" s="2" t="str">
        <f>Raw_Data!D276</f>
        <v>Wastewater Operator</v>
      </c>
      <c r="D276" s="2">
        <f>Raw_Data!F276</f>
        <v>35.58</v>
      </c>
      <c r="E276" s="2" t="str">
        <f>Raw_Data!H276</f>
        <v>HOURLY</v>
      </c>
      <c r="F276" s="2">
        <f>Raw_Data!I276</f>
        <v>1</v>
      </c>
      <c r="G276" s="13">
        <f>D276*INDEX(Multiplier_Lookup!$C$6:$C$9,MATCH(E276,Multiplier_Lookup!$B$6:$B$9,0))</f>
        <v>74006.399999999994</v>
      </c>
      <c r="H276" s="2" t="str">
        <f t="shared" si="4"/>
        <v>T-Mobile Premium Retailers|Wastewater Operator</v>
      </c>
    </row>
    <row r="277" spans="1:8" x14ac:dyDescent="0.35">
      <c r="A277" s="2" t="str">
        <f>Raw_Data!A277</f>
        <v>T-Mobile Premium Retailers</v>
      </c>
      <c r="B277" s="2" t="str">
        <f>Raw_Data!C277</f>
        <v>Installation &amp; Maintenance</v>
      </c>
      <c r="C277" s="2" t="str">
        <f>Raw_Data!D277</f>
        <v>Technician</v>
      </c>
      <c r="D277" s="2">
        <f>Raw_Data!F277</f>
        <v>13</v>
      </c>
      <c r="E277" s="2" t="str">
        <f>Raw_Data!H277</f>
        <v>HOURLY</v>
      </c>
      <c r="F277" s="2">
        <f>Raw_Data!I277</f>
        <v>1</v>
      </c>
      <c r="G277" s="13">
        <f>D277*INDEX(Multiplier_Lookup!$C$6:$C$9,MATCH(E277,Multiplier_Lookup!$B$6:$B$9,0))</f>
        <v>27040</v>
      </c>
      <c r="H277" s="2" t="str">
        <f t="shared" si="4"/>
        <v>T-Mobile Premium Retailers|Technician</v>
      </c>
    </row>
    <row r="278" spans="1:8" x14ac:dyDescent="0.35">
      <c r="A278" s="2" t="str">
        <f>Raw_Data!A278</f>
        <v>T-Mobile Premium Retailers</v>
      </c>
      <c r="B278" s="2" t="str">
        <f>Raw_Data!C278</f>
        <v>Installation &amp; Maintenance</v>
      </c>
      <c r="C278" s="2" t="str">
        <f>Raw_Data!D278</f>
        <v>Sheet Metal Mechanic</v>
      </c>
      <c r="D278" s="2">
        <f>Raw_Data!F278</f>
        <v>16.739999999999998</v>
      </c>
      <c r="E278" s="2" t="str">
        <f>Raw_Data!H278</f>
        <v>HOURLY</v>
      </c>
      <c r="F278" s="2">
        <f>Raw_Data!I278</f>
        <v>1</v>
      </c>
      <c r="G278" s="13">
        <f>D278*INDEX(Multiplier_Lookup!$C$6:$C$9,MATCH(E278,Multiplier_Lookup!$B$6:$B$9,0))</f>
        <v>34819.199999999997</v>
      </c>
      <c r="H278" s="2" t="str">
        <f t="shared" si="4"/>
        <v>T-Mobile Premium Retailers|Sheet Metal Mechanic</v>
      </c>
    </row>
    <row r="279" spans="1:8" x14ac:dyDescent="0.35">
      <c r="A279" s="2" t="str">
        <f>Raw_Data!A279</f>
        <v>T-Mobile Premium Retailers</v>
      </c>
      <c r="B279" s="2" t="str">
        <f>Raw_Data!C279</f>
        <v>Installation &amp; Maintenance</v>
      </c>
      <c r="C279" s="2" t="str">
        <f>Raw_Data!D279</f>
        <v>Locator</v>
      </c>
      <c r="D279" s="2">
        <f>Raw_Data!F279</f>
        <v>8</v>
      </c>
      <c r="E279" s="2" t="str">
        <f>Raw_Data!H279</f>
        <v>HOURLY</v>
      </c>
      <c r="F279" s="2">
        <f>Raw_Data!I279</f>
        <v>1</v>
      </c>
      <c r="G279" s="13">
        <f>D279*INDEX(Multiplier_Lookup!$C$6:$C$9,MATCH(E279,Multiplier_Lookup!$B$6:$B$9,0))</f>
        <v>16640</v>
      </c>
      <c r="H279" s="2" t="str">
        <f t="shared" si="4"/>
        <v>T-Mobile Premium Retailers|Locator</v>
      </c>
    </row>
    <row r="280" spans="1:8" x14ac:dyDescent="0.35">
      <c r="A280" s="2" t="str">
        <f>Raw_Data!A280</f>
        <v>T-Mobile Premium Retailers</v>
      </c>
      <c r="B280" s="2" t="str">
        <f>Raw_Data!C280</f>
        <v>Management</v>
      </c>
      <c r="C280" s="2" t="str">
        <f>Raw_Data!D280</f>
        <v>Commissioner</v>
      </c>
      <c r="D280" s="2">
        <f>Raw_Data!F280</f>
        <v>53062</v>
      </c>
      <c r="E280" s="2" t="str">
        <f>Raw_Data!H280</f>
        <v>YEARLY</v>
      </c>
      <c r="F280" s="2">
        <f>Raw_Data!I280</f>
        <v>1</v>
      </c>
      <c r="G280" s="13">
        <f>D280*INDEX(Multiplier_Lookup!$C$6:$C$9,MATCH(E280,Multiplier_Lookup!$B$6:$B$9,0))</f>
        <v>53062</v>
      </c>
      <c r="H280" s="2" t="str">
        <f t="shared" si="4"/>
        <v>T-Mobile Premium Retailers|Commissioner</v>
      </c>
    </row>
    <row r="281" spans="1:8" x14ac:dyDescent="0.35">
      <c r="A281" s="2" t="str">
        <f>Raw_Data!A281</f>
        <v>T-Mobile Premium Retailers</v>
      </c>
      <c r="B281" s="2" t="str">
        <f>Raw_Data!C281</f>
        <v>Management</v>
      </c>
      <c r="C281" s="2" t="str">
        <f>Raw_Data!D281</f>
        <v>Assistant Manager</v>
      </c>
      <c r="D281" s="2">
        <f>Raw_Data!F281</f>
        <v>31668</v>
      </c>
      <c r="E281" s="2" t="str">
        <f>Raw_Data!H281</f>
        <v>YEARLY</v>
      </c>
      <c r="F281" s="2">
        <f>Raw_Data!I281</f>
        <v>8</v>
      </c>
      <c r="G281" s="13">
        <f>D281*INDEX(Multiplier_Lookup!$C$6:$C$9,MATCH(E281,Multiplier_Lookup!$B$6:$B$9,0))</f>
        <v>31668</v>
      </c>
      <c r="H281" s="2" t="str">
        <f t="shared" si="4"/>
        <v>T-Mobile Premium Retailers|Assistant Manager</v>
      </c>
    </row>
    <row r="282" spans="1:8" x14ac:dyDescent="0.35">
      <c r="A282" s="2" t="str">
        <f>Raw_Data!A282</f>
        <v>Comcast</v>
      </c>
      <c r="B282" s="2" t="str">
        <f>Raw_Data!C282</f>
        <v>Marketing</v>
      </c>
      <c r="C282" s="2" t="str">
        <f>Raw_Data!D282</f>
        <v>Campaign Manager</v>
      </c>
      <c r="D282" s="2">
        <f>Raw_Data!F282</f>
        <v>54370</v>
      </c>
      <c r="E282" s="2" t="str">
        <f>Raw_Data!H282</f>
        <v>YEARLY</v>
      </c>
      <c r="F282" s="2">
        <f>Raw_Data!I282</f>
        <v>43</v>
      </c>
      <c r="G282" s="13">
        <f>D282*INDEX(Multiplier_Lookup!$C$6:$C$9,MATCH(E282,Multiplier_Lookup!$B$6:$B$9,0))</f>
        <v>54370</v>
      </c>
      <c r="H282" s="2" t="str">
        <f t="shared" si="4"/>
        <v>Comcast|Campaign Manager</v>
      </c>
    </row>
    <row r="283" spans="1:8" x14ac:dyDescent="0.35">
      <c r="A283" s="2" t="str">
        <f>Raw_Data!A283</f>
        <v>Comcast</v>
      </c>
      <c r="B283" s="2" t="str">
        <f>Raw_Data!C283</f>
        <v>Marketing</v>
      </c>
      <c r="C283" s="2" t="str">
        <f>Raw_Data!D283</f>
        <v>Senior Marketer</v>
      </c>
      <c r="D283" s="2">
        <f>Raw_Data!F283</f>
        <v>112924</v>
      </c>
      <c r="E283" s="2" t="str">
        <f>Raw_Data!H283</f>
        <v>YEARLY</v>
      </c>
      <c r="F283" s="2">
        <f>Raw_Data!I283</f>
        <v>6</v>
      </c>
      <c r="G283" s="13">
        <f>D283*INDEX(Multiplier_Lookup!$C$6:$C$9,MATCH(E283,Multiplier_Lookup!$B$6:$B$9,0))</f>
        <v>112924</v>
      </c>
      <c r="H283" s="2" t="str">
        <f t="shared" si="4"/>
        <v>Comcast|Senior Marketer</v>
      </c>
    </row>
    <row r="284" spans="1:8" x14ac:dyDescent="0.35">
      <c r="A284" s="2" t="str">
        <f>Raw_Data!A284</f>
        <v>Comcast</v>
      </c>
      <c r="B284" s="2" t="str">
        <f>Raw_Data!C284</f>
        <v>Marketing</v>
      </c>
      <c r="C284" s="2" t="str">
        <f>Raw_Data!D284</f>
        <v>Brand Ambassador</v>
      </c>
      <c r="D284" s="2">
        <f>Raw_Data!F284</f>
        <v>906</v>
      </c>
      <c r="E284" s="2" t="str">
        <f>Raw_Data!H284</f>
        <v>WEEKLY</v>
      </c>
      <c r="F284" s="2">
        <f>Raw_Data!I284</f>
        <v>10</v>
      </c>
      <c r="G284" s="13">
        <f>D284*INDEX(Multiplier_Lookup!$C$6:$C$9,MATCH(E284,Multiplier_Lookup!$B$6:$B$9,0))</f>
        <v>47112</v>
      </c>
      <c r="H284" s="2" t="str">
        <f t="shared" si="4"/>
        <v>Comcast|Brand Ambassador</v>
      </c>
    </row>
    <row r="285" spans="1:8" x14ac:dyDescent="0.35">
      <c r="A285" s="2" t="str">
        <f>Raw_Data!A285</f>
        <v>Comcast</v>
      </c>
      <c r="B285" s="2" t="str">
        <f>Raw_Data!C285</f>
        <v>Marketing</v>
      </c>
      <c r="C285" s="2" t="str">
        <f>Raw_Data!D285</f>
        <v>Marketing Specialist</v>
      </c>
      <c r="D285" s="2">
        <f>Raw_Data!F285</f>
        <v>64605</v>
      </c>
      <c r="E285" s="2" t="str">
        <f>Raw_Data!H285</f>
        <v>YEARLY</v>
      </c>
      <c r="F285" s="2">
        <f>Raw_Data!I285</f>
        <v>8</v>
      </c>
      <c r="G285" s="13">
        <f>D285*INDEX(Multiplier_Lookup!$C$6:$C$9,MATCH(E285,Multiplier_Lookup!$B$6:$B$9,0))</f>
        <v>64605</v>
      </c>
      <c r="H285" s="2" t="str">
        <f t="shared" si="4"/>
        <v>Comcast|Marketing Specialist</v>
      </c>
    </row>
    <row r="286" spans="1:8" x14ac:dyDescent="0.35">
      <c r="A286" s="2" t="str">
        <f>Raw_Data!A286</f>
        <v>Comcast</v>
      </c>
      <c r="B286" s="2" t="str">
        <f>Raw_Data!C286</f>
        <v>Marketing</v>
      </c>
      <c r="C286" s="2" t="str">
        <f>Raw_Data!D286</f>
        <v>Communications Manager</v>
      </c>
      <c r="D286" s="2">
        <f>Raw_Data!F286</f>
        <v>102227</v>
      </c>
      <c r="E286" s="2" t="str">
        <f>Raw_Data!H286</f>
        <v>YEARLY</v>
      </c>
      <c r="F286" s="2">
        <f>Raw_Data!I286</f>
        <v>7</v>
      </c>
      <c r="G286" s="13">
        <f>D286*INDEX(Multiplier_Lookup!$C$6:$C$9,MATCH(E286,Multiplier_Lookup!$B$6:$B$9,0))</f>
        <v>102227</v>
      </c>
      <c r="H286" s="2" t="str">
        <f t="shared" si="4"/>
        <v>Comcast|Communications Manager</v>
      </c>
    </row>
    <row r="287" spans="1:8" x14ac:dyDescent="0.35">
      <c r="A287" s="2" t="str">
        <f>Raw_Data!A287</f>
        <v>Comcast</v>
      </c>
      <c r="B287" s="2" t="str">
        <f>Raw_Data!C287</f>
        <v>Marketing</v>
      </c>
      <c r="C287" s="2" t="str">
        <f>Raw_Data!D287</f>
        <v>Marketing Manager</v>
      </c>
      <c r="D287" s="2">
        <f>Raw_Data!F287</f>
        <v>109594</v>
      </c>
      <c r="E287" s="2" t="str">
        <f>Raw_Data!H287</f>
        <v>YEARLY</v>
      </c>
      <c r="F287" s="2">
        <f>Raw_Data!I287</f>
        <v>5</v>
      </c>
      <c r="G287" s="13">
        <f>D287*INDEX(Multiplier_Lookup!$C$6:$C$9,MATCH(E287,Multiplier_Lookup!$B$6:$B$9,0))</f>
        <v>109594</v>
      </c>
      <c r="H287" s="2" t="str">
        <f t="shared" si="4"/>
        <v>Comcast|Marketing Manager</v>
      </c>
    </row>
    <row r="288" spans="1:8" x14ac:dyDescent="0.35">
      <c r="A288" s="2" t="str">
        <f>Raw_Data!A288</f>
        <v>Comcast</v>
      </c>
      <c r="B288" s="2" t="str">
        <f>Raw_Data!C288</f>
        <v>Marketing</v>
      </c>
      <c r="C288" s="2" t="str">
        <f>Raw_Data!D288</f>
        <v>Director of Communications</v>
      </c>
      <c r="D288" s="2">
        <f>Raw_Data!F288</f>
        <v>163696</v>
      </c>
      <c r="E288" s="2" t="str">
        <f>Raw_Data!H288</f>
        <v>YEARLY</v>
      </c>
      <c r="F288" s="2">
        <f>Raw_Data!I288</f>
        <v>8</v>
      </c>
      <c r="G288" s="13">
        <f>D288*INDEX(Multiplier_Lookup!$C$6:$C$9,MATCH(E288,Multiplier_Lookup!$B$6:$B$9,0))</f>
        <v>163696</v>
      </c>
      <c r="H288" s="2" t="str">
        <f t="shared" si="4"/>
        <v>Comcast|Director of Communications</v>
      </c>
    </row>
    <row r="289" spans="1:8" x14ac:dyDescent="0.35">
      <c r="A289" s="2" t="str">
        <f>Raw_Data!A289</f>
        <v>Comcast</v>
      </c>
      <c r="B289" s="2" t="str">
        <f>Raw_Data!C289</f>
        <v>Marketing</v>
      </c>
      <c r="C289" s="2" t="str">
        <f>Raw_Data!D289</f>
        <v>Director of Marketing</v>
      </c>
      <c r="D289" s="2">
        <f>Raw_Data!F289</f>
        <v>134502</v>
      </c>
      <c r="E289" s="2" t="str">
        <f>Raw_Data!H289</f>
        <v>YEARLY</v>
      </c>
      <c r="F289" s="2">
        <f>Raw_Data!I289</f>
        <v>7</v>
      </c>
      <c r="G289" s="13">
        <f>D289*INDEX(Multiplier_Lookup!$C$6:$C$9,MATCH(E289,Multiplier_Lookup!$B$6:$B$9,0))</f>
        <v>134502</v>
      </c>
      <c r="H289" s="2" t="str">
        <f t="shared" si="4"/>
        <v>Comcast|Director of Marketing</v>
      </c>
    </row>
    <row r="290" spans="1:8" x14ac:dyDescent="0.35">
      <c r="A290" s="2" t="str">
        <f>Raw_Data!A290</f>
        <v>Comcast</v>
      </c>
      <c r="B290" s="2" t="str">
        <f>Raw_Data!C290</f>
        <v>Marketing</v>
      </c>
      <c r="C290" s="2" t="str">
        <f>Raw_Data!D290</f>
        <v>Marketing Representative</v>
      </c>
      <c r="D290" s="2">
        <f>Raw_Data!F290</f>
        <v>582</v>
      </c>
      <c r="E290" s="2" t="str">
        <f>Raw_Data!H290</f>
        <v>WEEKLY</v>
      </c>
      <c r="F290" s="2">
        <f>Raw_Data!I290</f>
        <v>4</v>
      </c>
      <c r="G290" s="13">
        <f>D290*INDEX(Multiplier_Lookup!$C$6:$C$9,MATCH(E290,Multiplier_Lookup!$B$6:$B$9,0))</f>
        <v>30264</v>
      </c>
      <c r="H290" s="2" t="str">
        <f t="shared" si="4"/>
        <v>Comcast|Marketing Representative</v>
      </c>
    </row>
    <row r="291" spans="1:8" x14ac:dyDescent="0.35">
      <c r="A291" s="2" t="str">
        <f>Raw_Data!A291</f>
        <v>Comcast</v>
      </c>
      <c r="B291" s="2" t="str">
        <f>Raw_Data!C291</f>
        <v>Marketing</v>
      </c>
      <c r="C291" s="2" t="str">
        <f>Raw_Data!D291</f>
        <v>Internal Communications Executive</v>
      </c>
      <c r="D291" s="2">
        <f>Raw_Data!F291</f>
        <v>107397</v>
      </c>
      <c r="E291" s="2" t="str">
        <f>Raw_Data!H291</f>
        <v>YEARLY</v>
      </c>
      <c r="F291" s="2">
        <f>Raw_Data!I291</f>
        <v>4</v>
      </c>
      <c r="G291" s="13">
        <f>D291*INDEX(Multiplier_Lookup!$C$6:$C$9,MATCH(E291,Multiplier_Lookup!$B$6:$B$9,0))</f>
        <v>107397</v>
      </c>
      <c r="H291" s="2" t="str">
        <f t="shared" si="4"/>
        <v>Comcast|Internal Communications Executive</v>
      </c>
    </row>
    <row r="292" spans="1:8" x14ac:dyDescent="0.35">
      <c r="A292" s="2" t="str">
        <f>Raw_Data!A292</f>
        <v>The Walt Disney Company</v>
      </c>
      <c r="B292" s="2" t="str">
        <f>Raw_Data!C292</f>
        <v>Food Preparation &amp; Service</v>
      </c>
      <c r="C292" s="2" t="str">
        <f>Raw_Data!D292</f>
        <v>Host/Hostess</v>
      </c>
      <c r="D292" s="2">
        <f>Raw_Data!F292</f>
        <v>22.86</v>
      </c>
      <c r="E292" s="2" t="str">
        <f>Raw_Data!H292</f>
        <v>HOURLY</v>
      </c>
      <c r="F292" s="2">
        <f>Raw_Data!I292</f>
        <v>18</v>
      </c>
      <c r="G292" s="13">
        <f>D292*INDEX(Multiplier_Lookup!$C$6:$C$9,MATCH(E292,Multiplier_Lookup!$B$6:$B$9,0))</f>
        <v>47548.799999999996</v>
      </c>
      <c r="H292" s="2" t="str">
        <f t="shared" si="4"/>
        <v>The Walt Disney Company|Host/Hostess</v>
      </c>
    </row>
    <row r="293" spans="1:8" x14ac:dyDescent="0.35">
      <c r="A293" s="2" t="str">
        <f>Raw_Data!A293</f>
        <v>The Walt Disney Company</v>
      </c>
      <c r="B293" s="2" t="str">
        <f>Raw_Data!C293</f>
        <v>Food Preparation &amp; Service</v>
      </c>
      <c r="C293" s="2" t="str">
        <f>Raw_Data!D293</f>
        <v>Food Service Associate</v>
      </c>
      <c r="D293" s="2">
        <f>Raw_Data!F293</f>
        <v>20.84</v>
      </c>
      <c r="E293" s="2" t="str">
        <f>Raw_Data!H293</f>
        <v>HOURLY</v>
      </c>
      <c r="F293" s="2">
        <f>Raw_Data!I293</f>
        <v>14</v>
      </c>
      <c r="G293" s="13">
        <f>D293*INDEX(Multiplier_Lookup!$C$6:$C$9,MATCH(E293,Multiplier_Lookup!$B$6:$B$9,0))</f>
        <v>43347.199999999997</v>
      </c>
      <c r="H293" s="2" t="str">
        <f t="shared" si="4"/>
        <v>The Walt Disney Company|Food Service Associate</v>
      </c>
    </row>
    <row r="294" spans="1:8" x14ac:dyDescent="0.35">
      <c r="A294" s="2" t="str">
        <f>Raw_Data!A294</f>
        <v>The Walt Disney Company</v>
      </c>
      <c r="B294" s="2" t="str">
        <f>Raw_Data!C294</f>
        <v>Food Preparation &amp; Service</v>
      </c>
      <c r="C294" s="2" t="str">
        <f>Raw_Data!D294</f>
        <v>Cook</v>
      </c>
      <c r="D294" s="2">
        <f>Raw_Data!F294</f>
        <v>25.02</v>
      </c>
      <c r="E294" s="2" t="str">
        <f>Raw_Data!H294</f>
        <v>HOURLY</v>
      </c>
      <c r="F294" s="2">
        <f>Raw_Data!I294</f>
        <v>6</v>
      </c>
      <c r="G294" s="13">
        <f>D294*INDEX(Multiplier_Lookup!$C$6:$C$9,MATCH(E294,Multiplier_Lookup!$B$6:$B$9,0))</f>
        <v>52041.599999999999</v>
      </c>
      <c r="H294" s="2" t="str">
        <f t="shared" si="4"/>
        <v>The Walt Disney Company|Cook</v>
      </c>
    </row>
    <row r="295" spans="1:8" x14ac:dyDescent="0.35">
      <c r="A295" s="2" t="str">
        <f>Raw_Data!A295</f>
        <v>The Walt Disney Company</v>
      </c>
      <c r="B295" s="2" t="str">
        <f>Raw_Data!C295</f>
        <v>Food Preparation &amp; Service</v>
      </c>
      <c r="C295" s="2" t="str">
        <f>Raw_Data!D295</f>
        <v>Server</v>
      </c>
      <c r="D295" s="2">
        <f>Raw_Data!F295</f>
        <v>53853</v>
      </c>
      <c r="E295" s="2" t="str">
        <f>Raw_Data!H295</f>
        <v>YEARLY</v>
      </c>
      <c r="F295" s="2">
        <f>Raw_Data!I295</f>
        <v>5</v>
      </c>
      <c r="G295" s="13">
        <f>D295*INDEX(Multiplier_Lookup!$C$6:$C$9,MATCH(E295,Multiplier_Lookup!$B$6:$B$9,0))</f>
        <v>53853</v>
      </c>
      <c r="H295" s="2" t="str">
        <f t="shared" si="4"/>
        <v>The Walt Disney Company|Server</v>
      </c>
    </row>
    <row r="296" spans="1:8" x14ac:dyDescent="0.35">
      <c r="A296" s="2" t="str">
        <f>Raw_Data!A296</f>
        <v>The Walt Disney Company</v>
      </c>
      <c r="B296" s="2" t="str">
        <f>Raw_Data!C296</f>
        <v>Food Preparation &amp; Service</v>
      </c>
      <c r="C296" s="2" t="str">
        <f>Raw_Data!D296</f>
        <v>Sous Chef</v>
      </c>
      <c r="D296" s="2">
        <f>Raw_Data!F296</f>
        <v>25.48</v>
      </c>
      <c r="E296" s="2" t="str">
        <f>Raw_Data!H296</f>
        <v>HOURLY</v>
      </c>
      <c r="F296" s="2">
        <f>Raw_Data!I296</f>
        <v>8</v>
      </c>
      <c r="G296" s="13">
        <f>D296*INDEX(Multiplier_Lookup!$C$6:$C$9,MATCH(E296,Multiplier_Lookup!$B$6:$B$9,0))</f>
        <v>52998.400000000001</v>
      </c>
      <c r="H296" s="2" t="str">
        <f t="shared" si="4"/>
        <v>The Walt Disney Company|Sous Chef</v>
      </c>
    </row>
    <row r="297" spans="1:8" x14ac:dyDescent="0.35">
      <c r="A297" s="2" t="str">
        <f>Raw_Data!A297</f>
        <v>The Walt Disney Company</v>
      </c>
      <c r="B297" s="2" t="str">
        <f>Raw_Data!C297</f>
        <v>Food Preparation &amp; Service</v>
      </c>
      <c r="C297" s="2" t="str">
        <f>Raw_Data!D297</f>
        <v>Food Service Worker</v>
      </c>
      <c r="D297" s="2">
        <f>Raw_Data!F297</f>
        <v>16.54</v>
      </c>
      <c r="E297" s="2" t="str">
        <f>Raw_Data!H297</f>
        <v>HOURLY</v>
      </c>
      <c r="F297" s="2">
        <f>Raw_Data!I297</f>
        <v>9</v>
      </c>
      <c r="G297" s="13">
        <f>D297*INDEX(Multiplier_Lookup!$C$6:$C$9,MATCH(E297,Multiplier_Lookup!$B$6:$B$9,0))</f>
        <v>34403.199999999997</v>
      </c>
      <c r="H297" s="2" t="str">
        <f t="shared" si="4"/>
        <v>The Walt Disney Company|Food Service Worker</v>
      </c>
    </row>
    <row r="298" spans="1:8" x14ac:dyDescent="0.35">
      <c r="A298" s="2" t="str">
        <f>Raw_Data!A298</f>
        <v>The Walt Disney Company</v>
      </c>
      <c r="B298" s="2" t="str">
        <f>Raw_Data!C298</f>
        <v>Food Preparation &amp; Service</v>
      </c>
      <c r="C298" s="2" t="str">
        <f>Raw_Data!D298</f>
        <v>Pastry Cook</v>
      </c>
      <c r="D298" s="2">
        <f>Raw_Data!F298</f>
        <v>21.03</v>
      </c>
      <c r="E298" s="2" t="str">
        <f>Raw_Data!H298</f>
        <v>HOURLY</v>
      </c>
      <c r="F298" s="2">
        <f>Raw_Data!I298</f>
        <v>6</v>
      </c>
      <c r="G298" s="13">
        <f>D298*INDEX(Multiplier_Lookup!$C$6:$C$9,MATCH(E298,Multiplier_Lookup!$B$6:$B$9,0))</f>
        <v>43742.400000000001</v>
      </c>
      <c r="H298" s="2" t="str">
        <f t="shared" si="4"/>
        <v>The Walt Disney Company|Pastry Cook</v>
      </c>
    </row>
    <row r="299" spans="1:8" x14ac:dyDescent="0.35">
      <c r="A299" s="2" t="str">
        <f>Raw_Data!A299</f>
        <v>The Walt Disney Company</v>
      </c>
      <c r="B299" s="2" t="str">
        <f>Raw_Data!C299</f>
        <v>Food Preparation &amp; Service</v>
      </c>
      <c r="C299" s="2" t="str">
        <f>Raw_Data!D299</f>
        <v>Line Cook</v>
      </c>
      <c r="D299" s="2">
        <f>Raw_Data!F299</f>
        <v>20.03</v>
      </c>
      <c r="E299" s="2" t="str">
        <f>Raw_Data!H299</f>
        <v>HOURLY</v>
      </c>
      <c r="F299" s="2">
        <f>Raw_Data!I299</f>
        <v>7</v>
      </c>
      <c r="G299" s="13">
        <f>D299*INDEX(Multiplier_Lookup!$C$6:$C$9,MATCH(E299,Multiplier_Lookup!$B$6:$B$9,0))</f>
        <v>41662.400000000001</v>
      </c>
      <c r="H299" s="2" t="str">
        <f t="shared" si="4"/>
        <v>The Walt Disney Company|Line Cook</v>
      </c>
    </row>
    <row r="300" spans="1:8" x14ac:dyDescent="0.35">
      <c r="A300" s="2" t="str">
        <f>Raw_Data!A300</f>
        <v>The Walt Disney Company</v>
      </c>
      <c r="B300" s="2" t="str">
        <f>Raw_Data!C300</f>
        <v>Food Preparation &amp; Service</v>
      </c>
      <c r="C300" s="2" t="str">
        <f>Raw_Data!D300</f>
        <v>Barista</v>
      </c>
      <c r="D300" s="2">
        <f>Raw_Data!F300</f>
        <v>15.27</v>
      </c>
      <c r="E300" s="2" t="str">
        <f>Raw_Data!H300</f>
        <v>HOURLY</v>
      </c>
      <c r="F300" s="2">
        <f>Raw_Data!I300</f>
        <v>7</v>
      </c>
      <c r="G300" s="13">
        <f>D300*INDEX(Multiplier_Lookup!$C$6:$C$9,MATCH(E300,Multiplier_Lookup!$B$6:$B$9,0))</f>
        <v>31761.599999999999</v>
      </c>
      <c r="H300" s="2" t="str">
        <f t="shared" si="4"/>
        <v>The Walt Disney Company|Barista</v>
      </c>
    </row>
    <row r="301" spans="1:8" x14ac:dyDescent="0.35">
      <c r="A301" s="2" t="str">
        <f>Raw_Data!A301</f>
        <v>The Walt Disney Company</v>
      </c>
      <c r="B301" s="2" t="str">
        <f>Raw_Data!C301</f>
        <v>Food Preparation &amp; Service</v>
      </c>
      <c r="C301" s="2" t="str">
        <f>Raw_Data!D301</f>
        <v>Assistant Chef</v>
      </c>
      <c r="D301" s="2">
        <f>Raw_Data!F301</f>
        <v>20.99</v>
      </c>
      <c r="E301" s="2" t="str">
        <f>Raw_Data!H301</f>
        <v>HOURLY</v>
      </c>
      <c r="F301" s="2">
        <f>Raw_Data!I301</f>
        <v>11</v>
      </c>
      <c r="G301" s="13">
        <f>D301*INDEX(Multiplier_Lookup!$C$6:$C$9,MATCH(E301,Multiplier_Lookup!$B$6:$B$9,0))</f>
        <v>43659.199999999997</v>
      </c>
      <c r="H301" s="2" t="str">
        <f t="shared" si="4"/>
        <v>The Walt Disney Company|Assistant Chef</v>
      </c>
    </row>
    <row r="302" spans="1:8" x14ac:dyDescent="0.35">
      <c r="A302" s="2" t="str">
        <f>Raw_Data!A302</f>
        <v>Marriott International</v>
      </c>
      <c r="B302" s="2" t="str">
        <f>Raw_Data!C302</f>
        <v>Customer Service</v>
      </c>
      <c r="C302" s="2" t="str">
        <f>Raw_Data!D302</f>
        <v>Front Desk Agent</v>
      </c>
      <c r="D302" s="2">
        <f>Raw_Data!F302</f>
        <v>17.05</v>
      </c>
      <c r="E302" s="2" t="str">
        <f>Raw_Data!H302</f>
        <v>HOURLY</v>
      </c>
      <c r="F302" s="2">
        <f>Raw_Data!I302</f>
        <v>445</v>
      </c>
      <c r="G302" s="13">
        <f>D302*INDEX(Multiplier_Lookup!$C$6:$C$9,MATCH(E302,Multiplier_Lookup!$B$6:$B$9,0))</f>
        <v>35464</v>
      </c>
      <c r="H302" s="2" t="str">
        <f t="shared" si="4"/>
        <v>Marriott International|Front Desk Agent</v>
      </c>
    </row>
    <row r="303" spans="1:8" x14ac:dyDescent="0.35">
      <c r="A303" s="2" t="str">
        <f>Raw_Data!A303</f>
        <v>Marriott International</v>
      </c>
      <c r="B303" s="2" t="str">
        <f>Raw_Data!C303</f>
        <v>Customer Service</v>
      </c>
      <c r="C303" s="2" t="str">
        <f>Raw_Data!D303</f>
        <v>Guest Service Agent</v>
      </c>
      <c r="D303" s="2">
        <f>Raw_Data!F303</f>
        <v>17.649999999999999</v>
      </c>
      <c r="E303" s="2" t="str">
        <f>Raw_Data!H303</f>
        <v>HOURLY</v>
      </c>
      <c r="F303" s="2">
        <f>Raw_Data!I303</f>
        <v>142</v>
      </c>
      <c r="G303" s="13">
        <f>D303*INDEX(Multiplier_Lookup!$C$6:$C$9,MATCH(E303,Multiplier_Lookup!$B$6:$B$9,0))</f>
        <v>36712</v>
      </c>
      <c r="H303" s="2" t="str">
        <f t="shared" si="4"/>
        <v>Marriott International|Guest Service Agent</v>
      </c>
    </row>
    <row r="304" spans="1:8" x14ac:dyDescent="0.35">
      <c r="A304" s="2" t="str">
        <f>Raw_Data!A304</f>
        <v>Marriott International</v>
      </c>
      <c r="B304" s="2" t="str">
        <f>Raw_Data!C304</f>
        <v>Customer Service</v>
      </c>
      <c r="C304" s="2" t="str">
        <f>Raw_Data!D304</f>
        <v>Lobby Attendant</v>
      </c>
      <c r="D304" s="2">
        <f>Raw_Data!F304</f>
        <v>16.93</v>
      </c>
      <c r="E304" s="2" t="str">
        <f>Raw_Data!H304</f>
        <v>HOURLY</v>
      </c>
      <c r="F304" s="2">
        <f>Raw_Data!I304</f>
        <v>42</v>
      </c>
      <c r="G304" s="13">
        <f>D304*INDEX(Multiplier_Lookup!$C$6:$C$9,MATCH(E304,Multiplier_Lookup!$B$6:$B$9,0))</f>
        <v>35214.400000000001</v>
      </c>
      <c r="H304" s="2" t="str">
        <f t="shared" si="4"/>
        <v>Marriott International|Lobby Attendant</v>
      </c>
    </row>
    <row r="305" spans="1:8" x14ac:dyDescent="0.35">
      <c r="A305" s="2" t="str">
        <f>Raw_Data!A305</f>
        <v>Marriott International</v>
      </c>
      <c r="B305" s="2" t="str">
        <f>Raw_Data!C305</f>
        <v>Customer Service</v>
      </c>
      <c r="C305" s="2" t="str">
        <f>Raw_Data!D305</f>
        <v>Customer Service Representative</v>
      </c>
      <c r="D305" s="2">
        <f>Raw_Data!F305</f>
        <v>21.53</v>
      </c>
      <c r="E305" s="2" t="str">
        <f>Raw_Data!H305</f>
        <v>HOURLY</v>
      </c>
      <c r="F305" s="2">
        <f>Raw_Data!I305</f>
        <v>18</v>
      </c>
      <c r="G305" s="13">
        <f>D305*INDEX(Multiplier_Lookup!$C$6:$C$9,MATCH(E305,Multiplier_Lookup!$B$6:$B$9,0))</f>
        <v>44782.400000000001</v>
      </c>
      <c r="H305" s="2" t="str">
        <f t="shared" si="4"/>
        <v>Marriott International|Customer Service Representative</v>
      </c>
    </row>
    <row r="306" spans="1:8" x14ac:dyDescent="0.35">
      <c r="A306" s="2" t="str">
        <f>Raw_Data!A306</f>
        <v>Marriott International</v>
      </c>
      <c r="B306" s="2" t="str">
        <f>Raw_Data!C306</f>
        <v>Customer Service</v>
      </c>
      <c r="C306" s="2" t="str">
        <f>Raw_Data!D306</f>
        <v>Parking Attendant</v>
      </c>
      <c r="D306" s="2">
        <f>Raw_Data!F306</f>
        <v>12.5</v>
      </c>
      <c r="E306" s="2" t="str">
        <f>Raw_Data!H306</f>
        <v>HOURLY</v>
      </c>
      <c r="F306" s="2">
        <f>Raw_Data!I306</f>
        <v>10</v>
      </c>
      <c r="G306" s="13">
        <f>D306*INDEX(Multiplier_Lookup!$C$6:$C$9,MATCH(E306,Multiplier_Lookup!$B$6:$B$9,0))</f>
        <v>26000</v>
      </c>
      <c r="H306" s="2" t="str">
        <f t="shared" si="4"/>
        <v>Marriott International|Parking Attendant</v>
      </c>
    </row>
    <row r="307" spans="1:8" x14ac:dyDescent="0.35">
      <c r="A307" s="2" t="str">
        <f>Raw_Data!A307</f>
        <v>Marriott International</v>
      </c>
      <c r="B307" s="2" t="str">
        <f>Raw_Data!C307</f>
        <v>Customer Service</v>
      </c>
      <c r="C307" s="2" t="str">
        <f>Raw_Data!D307</f>
        <v>Hotel Front Desk Clerk</v>
      </c>
      <c r="D307" s="2">
        <f>Raw_Data!F307</f>
        <v>16.98</v>
      </c>
      <c r="E307" s="2" t="str">
        <f>Raw_Data!H307</f>
        <v>HOURLY</v>
      </c>
      <c r="F307" s="2">
        <f>Raw_Data!I307</f>
        <v>5</v>
      </c>
      <c r="G307" s="13">
        <f>D307*INDEX(Multiplier_Lookup!$C$6:$C$9,MATCH(E307,Multiplier_Lookup!$B$6:$B$9,0))</f>
        <v>35318.400000000001</v>
      </c>
      <c r="H307" s="2" t="str">
        <f t="shared" si="4"/>
        <v>Marriott International|Hotel Front Desk Clerk</v>
      </c>
    </row>
    <row r="308" spans="1:8" x14ac:dyDescent="0.35">
      <c r="A308" s="2" t="str">
        <f>Raw_Data!A308</f>
        <v>Marriott International</v>
      </c>
      <c r="B308" s="2" t="str">
        <f>Raw_Data!C308</f>
        <v>Customer Service</v>
      </c>
      <c r="C308" s="2" t="str">
        <f>Raw_Data!D308</f>
        <v>Reservation Agent</v>
      </c>
      <c r="D308" s="2">
        <f>Raw_Data!F308</f>
        <v>20.88</v>
      </c>
      <c r="E308" s="2" t="str">
        <f>Raw_Data!H308</f>
        <v>HOURLY</v>
      </c>
      <c r="F308" s="2">
        <f>Raw_Data!I308</f>
        <v>5</v>
      </c>
      <c r="G308" s="13">
        <f>D308*INDEX(Multiplier_Lookup!$C$6:$C$9,MATCH(E308,Multiplier_Lookup!$B$6:$B$9,0))</f>
        <v>43430.400000000001</v>
      </c>
      <c r="H308" s="2" t="str">
        <f t="shared" si="4"/>
        <v>Marriott International|Reservation Agent</v>
      </c>
    </row>
    <row r="309" spans="1:8" x14ac:dyDescent="0.35">
      <c r="A309" s="2" t="str">
        <f>Raw_Data!A309</f>
        <v>Marriott International</v>
      </c>
      <c r="B309" s="2" t="str">
        <f>Raw_Data!C309</f>
        <v>Customer Service</v>
      </c>
      <c r="C309" s="2" t="str">
        <f>Raw_Data!D309</f>
        <v>Reservationist</v>
      </c>
      <c r="D309" s="2">
        <f>Raw_Data!F309</f>
        <v>18.760000000000002</v>
      </c>
      <c r="E309" s="2" t="str">
        <f>Raw_Data!H309</f>
        <v>HOURLY</v>
      </c>
      <c r="F309" s="2">
        <f>Raw_Data!I309</f>
        <v>3</v>
      </c>
      <c r="G309" s="13">
        <f>D309*INDEX(Multiplier_Lookup!$C$6:$C$9,MATCH(E309,Multiplier_Lookup!$B$6:$B$9,0))</f>
        <v>39020.800000000003</v>
      </c>
      <c r="H309" s="2" t="str">
        <f t="shared" si="4"/>
        <v>Marriott International|Reservationist</v>
      </c>
    </row>
    <row r="310" spans="1:8" x14ac:dyDescent="0.35">
      <c r="A310" s="2" t="str">
        <f>Raw_Data!A310</f>
        <v>Marriott International</v>
      </c>
      <c r="B310" s="2" t="str">
        <f>Raw_Data!C310</f>
        <v>Customer Service</v>
      </c>
      <c r="C310" s="2" t="str">
        <f>Raw_Data!D310</f>
        <v>Greeter</v>
      </c>
      <c r="D310" s="2">
        <f>Raw_Data!F310</f>
        <v>15.14</v>
      </c>
      <c r="E310" s="2" t="str">
        <f>Raw_Data!H310</f>
        <v>HOURLY</v>
      </c>
      <c r="F310" s="2">
        <f>Raw_Data!I310</f>
        <v>3</v>
      </c>
      <c r="G310" s="13">
        <f>D310*INDEX(Multiplier_Lookup!$C$6:$C$9,MATCH(E310,Multiplier_Lookup!$B$6:$B$9,0))</f>
        <v>31491.200000000001</v>
      </c>
      <c r="H310" s="2" t="str">
        <f t="shared" si="4"/>
        <v>Marriott International|Greeter</v>
      </c>
    </row>
    <row r="311" spans="1:8" x14ac:dyDescent="0.35">
      <c r="A311" s="2" t="str">
        <f>Raw_Data!A311</f>
        <v>Marriott International</v>
      </c>
      <c r="B311" s="2" t="str">
        <f>Raw_Data!C311</f>
        <v>Customer Service</v>
      </c>
      <c r="C311" s="2" t="str">
        <f>Raw_Data!D311</f>
        <v>Usher</v>
      </c>
      <c r="D311" s="2">
        <f>Raw_Data!F311</f>
        <v>15</v>
      </c>
      <c r="E311" s="2" t="str">
        <f>Raw_Data!H311</f>
        <v>HOURLY</v>
      </c>
      <c r="F311" s="2">
        <f>Raw_Data!I311</f>
        <v>2</v>
      </c>
      <c r="G311" s="13">
        <f>D311*INDEX(Multiplier_Lookup!$C$6:$C$9,MATCH(E311,Multiplier_Lookup!$B$6:$B$9,0))</f>
        <v>31200</v>
      </c>
      <c r="H311" s="2" t="str">
        <f t="shared" si="4"/>
        <v>Marriott International|Usher</v>
      </c>
    </row>
    <row r="312" spans="1:8" x14ac:dyDescent="0.35">
      <c r="A312" s="2" t="str">
        <f>Raw_Data!A312</f>
        <v>Hilton</v>
      </c>
      <c r="B312" s="2" t="str">
        <f>Raw_Data!C312</f>
        <v>Customer Service</v>
      </c>
      <c r="C312" s="2" t="str">
        <f>Raw_Data!D312</f>
        <v>Front Desk Agent</v>
      </c>
      <c r="D312" s="2">
        <f>Raw_Data!F312</f>
        <v>19.010000000000002</v>
      </c>
      <c r="E312" s="2" t="str">
        <f>Raw_Data!H312</f>
        <v>HOURLY</v>
      </c>
      <c r="F312" s="2">
        <f>Raw_Data!I312</f>
        <v>153</v>
      </c>
      <c r="G312" s="13">
        <f>D312*INDEX(Multiplier_Lookup!$C$6:$C$9,MATCH(E312,Multiplier_Lookup!$B$6:$B$9,0))</f>
        <v>39540.800000000003</v>
      </c>
      <c r="H312" s="2" t="str">
        <f t="shared" si="4"/>
        <v>Hilton|Front Desk Agent</v>
      </c>
    </row>
    <row r="313" spans="1:8" x14ac:dyDescent="0.35">
      <c r="A313" s="2" t="str">
        <f>Raw_Data!A313</f>
        <v>Hilton</v>
      </c>
      <c r="B313" s="2" t="str">
        <f>Raw_Data!C313</f>
        <v>Customer Service</v>
      </c>
      <c r="C313" s="2" t="str">
        <f>Raw_Data!D313</f>
        <v>Guest Service Agent</v>
      </c>
      <c r="D313" s="2">
        <f>Raw_Data!F313</f>
        <v>18.66</v>
      </c>
      <c r="E313" s="2" t="str">
        <f>Raw_Data!H313</f>
        <v>HOURLY</v>
      </c>
      <c r="F313" s="2">
        <f>Raw_Data!I313</f>
        <v>91</v>
      </c>
      <c r="G313" s="13">
        <f>D313*INDEX(Multiplier_Lookup!$C$6:$C$9,MATCH(E313,Multiplier_Lookup!$B$6:$B$9,0))</f>
        <v>38812.800000000003</v>
      </c>
      <c r="H313" s="2" t="str">
        <f t="shared" si="4"/>
        <v>Hilton|Guest Service Agent</v>
      </c>
    </row>
    <row r="314" spans="1:8" x14ac:dyDescent="0.35">
      <c r="A314" s="2" t="str">
        <f>Raw_Data!A314</f>
        <v>Hilton</v>
      </c>
      <c r="B314" s="2" t="str">
        <f>Raw_Data!C314</f>
        <v>Customer Service</v>
      </c>
      <c r="C314" s="2" t="str">
        <f>Raw_Data!D314</f>
        <v>Parking Attendant</v>
      </c>
      <c r="D314" s="2">
        <f>Raw_Data!F314</f>
        <v>15.26</v>
      </c>
      <c r="E314" s="2" t="str">
        <f>Raw_Data!H314</f>
        <v>HOURLY</v>
      </c>
      <c r="F314" s="2">
        <f>Raw_Data!I314</f>
        <v>8</v>
      </c>
      <c r="G314" s="13">
        <f>D314*INDEX(Multiplier_Lookup!$C$6:$C$9,MATCH(E314,Multiplier_Lookup!$B$6:$B$9,0))</f>
        <v>31740.799999999999</v>
      </c>
      <c r="H314" s="2" t="str">
        <f t="shared" si="4"/>
        <v>Hilton|Parking Attendant</v>
      </c>
    </row>
    <row r="315" spans="1:8" x14ac:dyDescent="0.35">
      <c r="A315" s="2" t="str">
        <f>Raw_Data!A315</f>
        <v>Hilton</v>
      </c>
      <c r="B315" s="2" t="str">
        <f>Raw_Data!C315</f>
        <v>Customer Service</v>
      </c>
      <c r="C315" s="2" t="str">
        <f>Raw_Data!D315</f>
        <v>Lobby Attendant</v>
      </c>
      <c r="D315" s="2">
        <f>Raw_Data!F315</f>
        <v>16.72</v>
      </c>
      <c r="E315" s="2" t="str">
        <f>Raw_Data!H315</f>
        <v>HOURLY</v>
      </c>
      <c r="F315" s="2">
        <f>Raw_Data!I315</f>
        <v>15</v>
      </c>
      <c r="G315" s="13">
        <f>D315*INDEX(Multiplier_Lookup!$C$6:$C$9,MATCH(E315,Multiplier_Lookup!$B$6:$B$9,0))</f>
        <v>34777.599999999999</v>
      </c>
      <c r="H315" s="2" t="str">
        <f t="shared" si="4"/>
        <v>Hilton|Lobby Attendant</v>
      </c>
    </row>
    <row r="316" spans="1:8" x14ac:dyDescent="0.35">
      <c r="A316" s="2" t="str">
        <f>Raw_Data!A316</f>
        <v>Hilton</v>
      </c>
      <c r="B316" s="2" t="str">
        <f>Raw_Data!C316</f>
        <v>Customer Service</v>
      </c>
      <c r="C316" s="2" t="str">
        <f>Raw_Data!D316</f>
        <v>Reservation Agent</v>
      </c>
      <c r="D316" s="2">
        <f>Raw_Data!F316</f>
        <v>17.84</v>
      </c>
      <c r="E316" s="2" t="str">
        <f>Raw_Data!H316</f>
        <v>HOURLY</v>
      </c>
      <c r="F316" s="2">
        <f>Raw_Data!I316</f>
        <v>5</v>
      </c>
      <c r="G316" s="13">
        <f>D316*INDEX(Multiplier_Lookup!$C$6:$C$9,MATCH(E316,Multiplier_Lookup!$B$6:$B$9,0))</f>
        <v>37107.199999999997</v>
      </c>
      <c r="H316" s="2" t="str">
        <f t="shared" si="4"/>
        <v>Hilton|Reservation Agent</v>
      </c>
    </row>
    <row r="317" spans="1:8" x14ac:dyDescent="0.35">
      <c r="A317" s="2" t="str">
        <f>Raw_Data!A317</f>
        <v>Hilton</v>
      </c>
      <c r="B317" s="2" t="str">
        <f>Raw_Data!C317</f>
        <v>Customer Service</v>
      </c>
      <c r="C317" s="2" t="str">
        <f>Raw_Data!D317</f>
        <v>Greeter</v>
      </c>
      <c r="D317" s="2">
        <f>Raw_Data!F317</f>
        <v>28.89</v>
      </c>
      <c r="E317" s="2" t="str">
        <f>Raw_Data!H317</f>
        <v>HOURLY</v>
      </c>
      <c r="F317" s="2">
        <f>Raw_Data!I317</f>
        <v>6</v>
      </c>
      <c r="G317" s="13">
        <f>D317*INDEX(Multiplier_Lookup!$C$6:$C$9,MATCH(E317,Multiplier_Lookup!$B$6:$B$9,0))</f>
        <v>60091.200000000004</v>
      </c>
      <c r="H317" s="2" t="str">
        <f t="shared" si="4"/>
        <v>Hilton|Greeter</v>
      </c>
    </row>
    <row r="318" spans="1:8" x14ac:dyDescent="0.35">
      <c r="A318" s="2" t="str">
        <f>Raw_Data!A318</f>
        <v>Hilton</v>
      </c>
      <c r="B318" s="2" t="str">
        <f>Raw_Data!C318</f>
        <v>Customer Service</v>
      </c>
      <c r="C318" s="2" t="str">
        <f>Raw_Data!D318</f>
        <v>Hotel Front Desk Clerk</v>
      </c>
      <c r="D318" s="2">
        <f>Raw_Data!F318</f>
        <v>14.37</v>
      </c>
      <c r="E318" s="2" t="str">
        <f>Raw_Data!H318</f>
        <v>HOURLY</v>
      </c>
      <c r="F318" s="2">
        <f>Raw_Data!I318</f>
        <v>6</v>
      </c>
      <c r="G318" s="13">
        <f>D318*INDEX(Multiplier_Lookup!$C$6:$C$9,MATCH(E318,Multiplier_Lookup!$B$6:$B$9,0))</f>
        <v>29889.599999999999</v>
      </c>
      <c r="H318" s="2" t="str">
        <f t="shared" si="4"/>
        <v>Hilton|Hotel Front Desk Clerk</v>
      </c>
    </row>
    <row r="319" spans="1:8" x14ac:dyDescent="0.35">
      <c r="A319" s="2" t="str">
        <f>Raw_Data!A319</f>
        <v>Hilton</v>
      </c>
      <c r="B319" s="2" t="str">
        <f>Raw_Data!C319</f>
        <v>Customer Service</v>
      </c>
      <c r="C319" s="2" t="str">
        <f>Raw_Data!D319</f>
        <v>Overnight Customer Service Representative</v>
      </c>
      <c r="D319" s="2">
        <f>Raw_Data!F319</f>
        <v>15.97</v>
      </c>
      <c r="E319" s="2" t="str">
        <f>Raw_Data!H319</f>
        <v>HOURLY</v>
      </c>
      <c r="F319" s="2">
        <f>Raw_Data!I319</f>
        <v>2</v>
      </c>
      <c r="G319" s="13">
        <f>D319*INDEX(Multiplier_Lookup!$C$6:$C$9,MATCH(E319,Multiplier_Lookup!$B$6:$B$9,0))</f>
        <v>33217.599999999999</v>
      </c>
      <c r="H319" s="2" t="str">
        <f t="shared" si="4"/>
        <v>Hilton|Overnight Customer Service Representative</v>
      </c>
    </row>
    <row r="320" spans="1:8" x14ac:dyDescent="0.35">
      <c r="A320" s="2" t="str">
        <f>Raw_Data!A320</f>
        <v>Hilton</v>
      </c>
      <c r="B320" s="2" t="str">
        <f>Raw_Data!C320</f>
        <v>Customer Service</v>
      </c>
      <c r="C320" s="2" t="str">
        <f>Raw_Data!D320</f>
        <v>Reservationist</v>
      </c>
      <c r="D320" s="2">
        <f>Raw_Data!F320</f>
        <v>18</v>
      </c>
      <c r="E320" s="2" t="str">
        <f>Raw_Data!H320</f>
        <v>HOURLY</v>
      </c>
      <c r="F320" s="2">
        <f>Raw_Data!I320</f>
        <v>1</v>
      </c>
      <c r="G320" s="13">
        <f>D320*INDEX(Multiplier_Lookup!$C$6:$C$9,MATCH(E320,Multiplier_Lookup!$B$6:$B$9,0))</f>
        <v>37440</v>
      </c>
      <c r="H320" s="2" t="str">
        <f t="shared" si="4"/>
        <v>Hilton|Reservationist</v>
      </c>
    </row>
    <row r="321" spans="1:8" x14ac:dyDescent="0.35">
      <c r="A321" s="2" t="str">
        <f>Raw_Data!A321</f>
        <v>Hilton</v>
      </c>
      <c r="B321" s="2" t="str">
        <f>Raw_Data!C321</f>
        <v>Customer Service</v>
      </c>
      <c r="C321" s="2" t="str">
        <f>Raw_Data!D321</f>
        <v>Desktop Support Technician</v>
      </c>
      <c r="D321" s="2">
        <f>Raw_Data!F321</f>
        <v>79844</v>
      </c>
      <c r="E321" s="2" t="str">
        <f>Raw_Data!H321</f>
        <v>YEARLY</v>
      </c>
      <c r="F321" s="2">
        <f>Raw_Data!I321</f>
        <v>1</v>
      </c>
      <c r="G321" s="13">
        <f>D321*INDEX(Multiplier_Lookup!$C$6:$C$9,MATCH(E321,Multiplier_Lookup!$B$6:$B$9,0))</f>
        <v>79844</v>
      </c>
      <c r="H321" s="2" t="str">
        <f t="shared" si="4"/>
        <v>Hilton|Desktop Support Technician</v>
      </c>
    </row>
    <row r="322" spans="1:8" x14ac:dyDescent="0.35">
      <c r="A322" s="2" t="str">
        <f>Raw_Data!A322</f>
        <v>Southwest Airlines</v>
      </c>
      <c r="B322" s="2" t="str">
        <f>Raw_Data!C322</f>
        <v>Mathematics</v>
      </c>
      <c r="C322" s="2" t="str">
        <f>Raw_Data!D322</f>
        <v>Analyst</v>
      </c>
      <c r="D322" s="2">
        <f>Raw_Data!F322</f>
        <v>90620</v>
      </c>
      <c r="E322" s="2" t="str">
        <f>Raw_Data!H322</f>
        <v>YEARLY</v>
      </c>
      <c r="F322" s="2">
        <f>Raw_Data!I322</f>
        <v>11</v>
      </c>
      <c r="G322" s="13">
        <f>D322*INDEX(Multiplier_Lookup!$C$6:$C$9,MATCH(E322,Multiplier_Lookup!$B$6:$B$9,0))</f>
        <v>90620</v>
      </c>
      <c r="H322" s="2" t="str">
        <f t="shared" ref="H322:H385" si="5">A322&amp;"|"&amp;C322</f>
        <v>Southwest Airlines|Analyst</v>
      </c>
    </row>
    <row r="323" spans="1:8" x14ac:dyDescent="0.35">
      <c r="A323" s="2" t="str">
        <f>Raw_Data!A323</f>
        <v>Southwest Airlines</v>
      </c>
      <c r="B323" s="2" t="str">
        <f>Raw_Data!C323</f>
        <v>Mathematics</v>
      </c>
      <c r="C323" s="2" t="str">
        <f>Raw_Data!D323</f>
        <v>Senior Analyst</v>
      </c>
      <c r="D323" s="2">
        <f>Raw_Data!F323</f>
        <v>123693</v>
      </c>
      <c r="E323" s="2" t="str">
        <f>Raw_Data!H323</f>
        <v>YEARLY</v>
      </c>
      <c r="F323" s="2">
        <f>Raw_Data!I323</f>
        <v>7</v>
      </c>
      <c r="G323" s="13">
        <f>D323*INDEX(Multiplier_Lookup!$C$6:$C$9,MATCH(E323,Multiplier_Lookup!$B$6:$B$9,0))</f>
        <v>123693</v>
      </c>
      <c r="H323" s="2" t="str">
        <f t="shared" si="5"/>
        <v>Southwest Airlines|Senior Analyst</v>
      </c>
    </row>
    <row r="324" spans="1:8" x14ac:dyDescent="0.35">
      <c r="A324" s="2" t="str">
        <f>Raw_Data!A324</f>
        <v>Southwest Airlines</v>
      </c>
      <c r="B324" s="2" t="str">
        <f>Raw_Data!C324</f>
        <v>Mathematics</v>
      </c>
      <c r="C324" s="2" t="str">
        <f>Raw_Data!D324</f>
        <v>Business Analyst</v>
      </c>
      <c r="D324" s="2">
        <f>Raw_Data!F324</f>
        <v>105446</v>
      </c>
      <c r="E324" s="2" t="str">
        <f>Raw_Data!H324</f>
        <v>YEARLY</v>
      </c>
      <c r="F324" s="2">
        <f>Raw_Data!I324</f>
        <v>7</v>
      </c>
      <c r="G324" s="13">
        <f>D324*INDEX(Multiplier_Lookup!$C$6:$C$9,MATCH(E324,Multiplier_Lookup!$B$6:$B$9,0))</f>
        <v>105446</v>
      </c>
      <c r="H324" s="2" t="str">
        <f t="shared" si="5"/>
        <v>Southwest Airlines|Business Analyst</v>
      </c>
    </row>
    <row r="325" spans="1:8" x14ac:dyDescent="0.35">
      <c r="A325" s="2" t="str">
        <f>Raw_Data!A325</f>
        <v>Southwest Airlines</v>
      </c>
      <c r="B325" s="2" t="str">
        <f>Raw_Data!C325</f>
        <v>Mathematics</v>
      </c>
      <c r="C325" s="2" t="str">
        <f>Raw_Data!D325</f>
        <v>Data Scientist</v>
      </c>
      <c r="D325" s="2">
        <f>Raw_Data!F325</f>
        <v>127149</v>
      </c>
      <c r="E325" s="2" t="str">
        <f>Raw_Data!H325</f>
        <v>YEARLY</v>
      </c>
      <c r="F325" s="2">
        <f>Raw_Data!I325</f>
        <v>7</v>
      </c>
      <c r="G325" s="13">
        <f>D325*INDEX(Multiplier_Lookup!$C$6:$C$9,MATCH(E325,Multiplier_Lookup!$B$6:$B$9,0))</f>
        <v>127149</v>
      </c>
      <c r="H325" s="2" t="str">
        <f t="shared" si="5"/>
        <v>Southwest Airlines|Data Scientist</v>
      </c>
    </row>
    <row r="326" spans="1:8" x14ac:dyDescent="0.35">
      <c r="A326" s="2" t="str">
        <f>Raw_Data!A326</f>
        <v>Southwest Airlines</v>
      </c>
      <c r="B326" s="2" t="str">
        <f>Raw_Data!C326</f>
        <v>Mathematics</v>
      </c>
      <c r="C326" s="2" t="str">
        <f>Raw_Data!D326</f>
        <v>Associate Analyst</v>
      </c>
      <c r="D326" s="2">
        <f>Raw_Data!F326</f>
        <v>69121</v>
      </c>
      <c r="E326" s="2" t="str">
        <f>Raw_Data!H326</f>
        <v>YEARLY</v>
      </c>
      <c r="F326" s="2">
        <f>Raw_Data!I326</f>
        <v>6</v>
      </c>
      <c r="G326" s="13">
        <f>D326*INDEX(Multiplier_Lookup!$C$6:$C$9,MATCH(E326,Multiplier_Lookup!$B$6:$B$9,0))</f>
        <v>69121</v>
      </c>
      <c r="H326" s="2" t="str">
        <f t="shared" si="5"/>
        <v>Southwest Airlines|Associate Analyst</v>
      </c>
    </row>
    <row r="327" spans="1:8" x14ac:dyDescent="0.35">
      <c r="A327" s="2" t="str">
        <f>Raw_Data!A327</f>
        <v>Southwest Airlines</v>
      </c>
      <c r="B327" s="2" t="str">
        <f>Raw_Data!C327</f>
        <v>Mathematics</v>
      </c>
      <c r="C327" s="2" t="str">
        <f>Raw_Data!D327</f>
        <v>Senior Business Analyst</v>
      </c>
      <c r="D327" s="2">
        <f>Raw_Data!F327</f>
        <v>106902</v>
      </c>
      <c r="E327" s="2" t="str">
        <f>Raw_Data!H327</f>
        <v>YEARLY</v>
      </c>
      <c r="F327" s="2">
        <f>Raw_Data!I327</f>
        <v>8</v>
      </c>
      <c r="G327" s="13">
        <f>D327*INDEX(Multiplier_Lookup!$C$6:$C$9,MATCH(E327,Multiplier_Lookup!$B$6:$B$9,0))</f>
        <v>106902</v>
      </c>
      <c r="H327" s="2" t="str">
        <f t="shared" si="5"/>
        <v>Southwest Airlines|Senior Business Analyst</v>
      </c>
    </row>
    <row r="328" spans="1:8" x14ac:dyDescent="0.35">
      <c r="A328" s="2" t="str">
        <f>Raw_Data!A328</f>
        <v>Southwest Airlines</v>
      </c>
      <c r="B328" s="2" t="str">
        <f>Raw_Data!C328</f>
        <v>Mathematics</v>
      </c>
      <c r="C328" s="2" t="str">
        <f>Raw_Data!D328</f>
        <v>Senior Data Analyst</v>
      </c>
      <c r="D328" s="2">
        <f>Raw_Data!F328</f>
        <v>100026</v>
      </c>
      <c r="E328" s="2" t="str">
        <f>Raw_Data!H328</f>
        <v>YEARLY</v>
      </c>
      <c r="F328" s="2">
        <f>Raw_Data!I328</f>
        <v>7</v>
      </c>
      <c r="G328" s="13">
        <f>D328*INDEX(Multiplier_Lookup!$C$6:$C$9,MATCH(E328,Multiplier_Lookup!$B$6:$B$9,0))</f>
        <v>100026</v>
      </c>
      <c r="H328" s="2" t="str">
        <f t="shared" si="5"/>
        <v>Southwest Airlines|Senior Data Analyst</v>
      </c>
    </row>
    <row r="329" spans="1:8" x14ac:dyDescent="0.35">
      <c r="A329" s="2" t="str">
        <f>Raw_Data!A329</f>
        <v>Southwest Airlines</v>
      </c>
      <c r="B329" s="2" t="str">
        <f>Raw_Data!C329</f>
        <v>Mathematics</v>
      </c>
      <c r="C329" s="2" t="str">
        <f>Raw_Data!D329</f>
        <v>Data Analyst</v>
      </c>
      <c r="D329" s="2">
        <f>Raw_Data!F329</f>
        <v>91221</v>
      </c>
      <c r="E329" s="2" t="str">
        <f>Raw_Data!H329</f>
        <v>YEARLY</v>
      </c>
      <c r="F329" s="2">
        <f>Raw_Data!I329</f>
        <v>6</v>
      </c>
      <c r="G329" s="13">
        <f>D329*INDEX(Multiplier_Lookup!$C$6:$C$9,MATCH(E329,Multiplier_Lookup!$B$6:$B$9,0))</f>
        <v>91221</v>
      </c>
      <c r="H329" s="2" t="str">
        <f t="shared" si="5"/>
        <v>Southwest Airlines|Data Analyst</v>
      </c>
    </row>
    <row r="330" spans="1:8" x14ac:dyDescent="0.35">
      <c r="A330" s="2" t="str">
        <f>Raw_Data!A330</f>
        <v>Southwest Airlines</v>
      </c>
      <c r="B330" s="2" t="str">
        <f>Raw_Data!C330</f>
        <v>Information Design &amp; Documentation</v>
      </c>
      <c r="C330" s="2" t="str">
        <f>Raw_Data!D330</f>
        <v>Technology Analyst</v>
      </c>
      <c r="D330" s="2">
        <f>Raw_Data!F330</f>
        <v>87105</v>
      </c>
      <c r="E330" s="2" t="str">
        <f>Raw_Data!H330</f>
        <v>YEARLY</v>
      </c>
      <c r="F330" s="2">
        <f>Raw_Data!I330</f>
        <v>6</v>
      </c>
      <c r="G330" s="13">
        <f>D330*INDEX(Multiplier_Lookup!$C$6:$C$9,MATCH(E330,Multiplier_Lookup!$B$6:$B$9,0))</f>
        <v>87105</v>
      </c>
      <c r="H330" s="2" t="str">
        <f t="shared" si="5"/>
        <v>Southwest Airlines|Technology Analyst</v>
      </c>
    </row>
    <row r="331" spans="1:8" x14ac:dyDescent="0.35">
      <c r="A331" s="2" t="str">
        <f>Raw_Data!A331</f>
        <v>Southwest Airlines</v>
      </c>
      <c r="B331" s="2" t="str">
        <f>Raw_Data!C331</f>
        <v>Information Design &amp; Documentation</v>
      </c>
      <c r="C331" s="2" t="str">
        <f>Raw_Data!D331</f>
        <v>Technical Writer</v>
      </c>
      <c r="D331" s="2">
        <f>Raw_Data!F331</f>
        <v>65224</v>
      </c>
      <c r="E331" s="2" t="str">
        <f>Raw_Data!H331</f>
        <v>YEARLY</v>
      </c>
      <c r="F331" s="2">
        <f>Raw_Data!I331</f>
        <v>5</v>
      </c>
      <c r="G331" s="13">
        <f>D331*INDEX(Multiplier_Lookup!$C$6:$C$9,MATCH(E331,Multiplier_Lookup!$B$6:$B$9,0))</f>
        <v>65224</v>
      </c>
      <c r="H331" s="2" t="str">
        <f t="shared" si="5"/>
        <v>Southwest Airlines|Technical Writer</v>
      </c>
    </row>
    <row r="332" spans="1:8" x14ac:dyDescent="0.35">
      <c r="A332" s="2" t="str">
        <f>Raw_Data!A332</f>
        <v>Boeing</v>
      </c>
      <c r="B332" s="2" t="str">
        <f>Raw_Data!C332</f>
        <v>Production &amp; Manufacturing</v>
      </c>
      <c r="C332" s="2" t="str">
        <f>Raw_Data!D332</f>
        <v>Assembler</v>
      </c>
      <c r="D332" s="2">
        <f>Raw_Data!F332</f>
        <v>25.02</v>
      </c>
      <c r="E332" s="2" t="str">
        <f>Raw_Data!H332</f>
        <v>HOURLY</v>
      </c>
      <c r="F332" s="2">
        <f>Raw_Data!I332</f>
        <v>74</v>
      </c>
      <c r="G332" s="13">
        <f>D332*INDEX(Multiplier_Lookup!$C$6:$C$9,MATCH(E332,Multiplier_Lookup!$B$6:$B$9,0))</f>
        <v>52041.599999999999</v>
      </c>
      <c r="H332" s="2" t="str">
        <f t="shared" si="5"/>
        <v>Boeing|Assembler</v>
      </c>
    </row>
    <row r="333" spans="1:8" x14ac:dyDescent="0.35">
      <c r="A333" s="2" t="str">
        <f>Raw_Data!A333</f>
        <v>Boeing</v>
      </c>
      <c r="B333" s="2" t="str">
        <f>Raw_Data!C333</f>
        <v>Production &amp; Manufacturing</v>
      </c>
      <c r="C333" s="2" t="str">
        <f>Raw_Data!D333</f>
        <v>Fabricator</v>
      </c>
      <c r="D333" s="2">
        <f>Raw_Data!F333</f>
        <v>32.04</v>
      </c>
      <c r="E333" s="2" t="str">
        <f>Raw_Data!H333</f>
        <v>HOURLY</v>
      </c>
      <c r="F333" s="2">
        <f>Raw_Data!I333</f>
        <v>12</v>
      </c>
      <c r="G333" s="13">
        <f>D333*INDEX(Multiplier_Lookup!$C$6:$C$9,MATCH(E333,Multiplier_Lookup!$B$6:$B$9,0))</f>
        <v>66643.199999999997</v>
      </c>
      <c r="H333" s="2" t="str">
        <f t="shared" si="5"/>
        <v>Boeing|Fabricator</v>
      </c>
    </row>
    <row r="334" spans="1:8" x14ac:dyDescent="0.35">
      <c r="A334" s="2" t="str">
        <f>Raw_Data!A334</f>
        <v>Boeing</v>
      </c>
      <c r="B334" s="2" t="str">
        <f>Raw_Data!C334</f>
        <v>Production &amp; Manufacturing</v>
      </c>
      <c r="C334" s="2" t="str">
        <f>Raw_Data!D334</f>
        <v>Quality Assurance Inspector</v>
      </c>
      <c r="D334" s="2">
        <f>Raw_Data!F334</f>
        <v>30.18</v>
      </c>
      <c r="E334" s="2" t="str">
        <f>Raw_Data!H334</f>
        <v>HOURLY</v>
      </c>
      <c r="F334" s="2">
        <f>Raw_Data!I334</f>
        <v>28</v>
      </c>
      <c r="G334" s="13">
        <f>D334*INDEX(Multiplier_Lookup!$C$6:$C$9,MATCH(E334,Multiplier_Lookup!$B$6:$B$9,0))</f>
        <v>62774.400000000001</v>
      </c>
      <c r="H334" s="2" t="str">
        <f t="shared" si="5"/>
        <v>Boeing|Quality Assurance Inspector</v>
      </c>
    </row>
    <row r="335" spans="1:8" x14ac:dyDescent="0.35">
      <c r="A335" s="2" t="str">
        <f>Raw_Data!A335</f>
        <v>Boeing</v>
      </c>
      <c r="B335" s="2" t="str">
        <f>Raw_Data!C335</f>
        <v>Production &amp; Manufacturing</v>
      </c>
      <c r="C335" s="2" t="str">
        <f>Raw_Data!D335</f>
        <v>Quality Specialist</v>
      </c>
      <c r="D335" s="2">
        <f>Raw_Data!F335</f>
        <v>100843</v>
      </c>
      <c r="E335" s="2" t="str">
        <f>Raw_Data!H335</f>
        <v>YEARLY</v>
      </c>
      <c r="F335" s="2">
        <f>Raw_Data!I335</f>
        <v>9</v>
      </c>
      <c r="G335" s="13">
        <f>D335*INDEX(Multiplier_Lookup!$C$6:$C$9,MATCH(E335,Multiplier_Lookup!$B$6:$B$9,0))</f>
        <v>100843</v>
      </c>
      <c r="H335" s="2" t="str">
        <f t="shared" si="5"/>
        <v>Boeing|Quality Specialist</v>
      </c>
    </row>
    <row r="336" spans="1:8" x14ac:dyDescent="0.35">
      <c r="A336" s="2" t="str">
        <f>Raw_Data!A336</f>
        <v>Boeing</v>
      </c>
      <c r="B336" s="2" t="str">
        <f>Raw_Data!C336</f>
        <v>Production &amp; Manufacturing</v>
      </c>
      <c r="C336" s="2" t="str">
        <f>Raw_Data!D336</f>
        <v>Manufacturing Associate</v>
      </c>
      <c r="D336" s="2">
        <f>Raw_Data!F336</f>
        <v>36.06</v>
      </c>
      <c r="E336" s="2" t="str">
        <f>Raw_Data!H336</f>
        <v>HOURLY</v>
      </c>
      <c r="F336" s="2">
        <f>Raw_Data!I336</f>
        <v>1</v>
      </c>
      <c r="G336" s="13">
        <f>D336*INDEX(Multiplier_Lookup!$C$6:$C$9,MATCH(E336,Multiplier_Lookup!$B$6:$B$9,0))</f>
        <v>75004.800000000003</v>
      </c>
      <c r="H336" s="2" t="str">
        <f t="shared" si="5"/>
        <v>Boeing|Manufacturing Associate</v>
      </c>
    </row>
    <row r="337" spans="1:8" x14ac:dyDescent="0.35">
      <c r="A337" s="2" t="str">
        <f>Raw_Data!A337</f>
        <v>Boeing</v>
      </c>
      <c r="B337" s="2" t="str">
        <f>Raw_Data!C337</f>
        <v>Production &amp; Manufacturing</v>
      </c>
      <c r="C337" s="2" t="str">
        <f>Raw_Data!D337</f>
        <v>Machinist</v>
      </c>
      <c r="D337" s="2">
        <f>Raw_Data!F337</f>
        <v>40.98</v>
      </c>
      <c r="E337" s="2" t="str">
        <f>Raw_Data!H337</f>
        <v>HOURLY</v>
      </c>
      <c r="F337" s="2">
        <f>Raw_Data!I337</f>
        <v>11</v>
      </c>
      <c r="G337" s="13">
        <f>D337*INDEX(Multiplier_Lookup!$C$6:$C$9,MATCH(E337,Multiplier_Lookup!$B$6:$B$9,0))</f>
        <v>85238.399999999994</v>
      </c>
      <c r="H337" s="2" t="str">
        <f t="shared" si="5"/>
        <v>Boeing|Machinist</v>
      </c>
    </row>
    <row r="338" spans="1:8" x14ac:dyDescent="0.35">
      <c r="A338" s="2" t="str">
        <f>Raw_Data!A338</f>
        <v>Boeing</v>
      </c>
      <c r="B338" s="2" t="str">
        <f>Raw_Data!C338</f>
        <v>Production &amp; Manufacturing</v>
      </c>
      <c r="C338" s="2" t="str">
        <f>Raw_Data!D338</f>
        <v>Electrical Assembler</v>
      </c>
      <c r="D338" s="2">
        <f>Raw_Data!F338</f>
        <v>20.95</v>
      </c>
      <c r="E338" s="2" t="str">
        <f>Raw_Data!H338</f>
        <v>HOURLY</v>
      </c>
      <c r="F338" s="2">
        <f>Raw_Data!I338</f>
        <v>7</v>
      </c>
      <c r="G338" s="13">
        <f>D338*INDEX(Multiplier_Lookup!$C$6:$C$9,MATCH(E338,Multiplier_Lookup!$B$6:$B$9,0))</f>
        <v>43576</v>
      </c>
      <c r="H338" s="2" t="str">
        <f t="shared" si="5"/>
        <v>Boeing|Electrical Assembler</v>
      </c>
    </row>
    <row r="339" spans="1:8" x14ac:dyDescent="0.35">
      <c r="A339" s="2" t="str">
        <f>Raw_Data!A339</f>
        <v>Boeing</v>
      </c>
      <c r="B339" s="2" t="str">
        <f>Raw_Data!C339</f>
        <v>Production &amp; Manufacturing</v>
      </c>
      <c r="C339" s="2" t="str">
        <f>Raw_Data!D339</f>
        <v>Tool and Die Maker</v>
      </c>
      <c r="D339" s="2">
        <f>Raw_Data!F339</f>
        <v>33.869999999999997</v>
      </c>
      <c r="E339" s="2" t="str">
        <f>Raw_Data!H339</f>
        <v>HOURLY</v>
      </c>
      <c r="F339" s="2">
        <f>Raw_Data!I339</f>
        <v>9</v>
      </c>
      <c r="G339" s="13">
        <f>D339*INDEX(Multiplier_Lookup!$C$6:$C$9,MATCH(E339,Multiplier_Lookup!$B$6:$B$9,0))</f>
        <v>70449.599999999991</v>
      </c>
      <c r="H339" s="2" t="str">
        <f t="shared" si="5"/>
        <v>Boeing|Tool and Die Maker</v>
      </c>
    </row>
    <row r="340" spans="1:8" x14ac:dyDescent="0.35">
      <c r="A340" s="2" t="str">
        <f>Raw_Data!A340</f>
        <v>Boeing</v>
      </c>
      <c r="B340" s="2" t="str">
        <f>Raw_Data!C340</f>
        <v>Production &amp; Manufacturing</v>
      </c>
      <c r="C340" s="2" t="str">
        <f>Raw_Data!D340</f>
        <v>Mechanical Assembler</v>
      </c>
      <c r="D340" s="2">
        <f>Raw_Data!F340</f>
        <v>20.18</v>
      </c>
      <c r="E340" s="2" t="str">
        <f>Raw_Data!H340</f>
        <v>HOURLY</v>
      </c>
      <c r="F340" s="2">
        <f>Raw_Data!I340</f>
        <v>7</v>
      </c>
      <c r="G340" s="13">
        <f>D340*INDEX(Multiplier_Lookup!$C$6:$C$9,MATCH(E340,Multiplier_Lookup!$B$6:$B$9,0))</f>
        <v>41974.400000000001</v>
      </c>
      <c r="H340" s="2" t="str">
        <f t="shared" si="5"/>
        <v>Boeing|Mechanical Assembler</v>
      </c>
    </row>
    <row r="341" spans="1:8" x14ac:dyDescent="0.35">
      <c r="A341" s="2" t="str">
        <f>Raw_Data!A341</f>
        <v>Boeing</v>
      </c>
      <c r="B341" s="2" t="str">
        <f>Raw_Data!C341</f>
        <v>Production &amp; Manufacturing</v>
      </c>
      <c r="C341" s="2" t="str">
        <f>Raw_Data!D341</f>
        <v>Welder</v>
      </c>
      <c r="D341" s="2">
        <f>Raw_Data!F341</f>
        <v>30.39</v>
      </c>
      <c r="E341" s="2" t="str">
        <f>Raw_Data!H341</f>
        <v>HOURLY</v>
      </c>
      <c r="F341" s="2">
        <f>Raw_Data!I341</f>
        <v>9</v>
      </c>
      <c r="G341" s="13">
        <f>D341*INDEX(Multiplier_Lookup!$C$6:$C$9,MATCH(E341,Multiplier_Lookup!$B$6:$B$9,0))</f>
        <v>63211.200000000004</v>
      </c>
      <c r="H341" s="2" t="str">
        <f t="shared" si="5"/>
        <v>Boeing|Welder</v>
      </c>
    </row>
    <row r="342" spans="1:8" x14ac:dyDescent="0.35">
      <c r="A342" s="2" t="str">
        <f>Raw_Data!A342</f>
        <v>Lockheed Martin</v>
      </c>
      <c r="B342" s="2" t="str">
        <f>Raw_Data!C342</f>
        <v>Installation &amp; Maintenance</v>
      </c>
      <c r="C342" s="2" t="str">
        <f>Raw_Data!D342</f>
        <v>Field Engineer</v>
      </c>
      <c r="D342" s="2">
        <f>Raw_Data!F342</f>
        <v>105032</v>
      </c>
      <c r="E342" s="2" t="str">
        <f>Raw_Data!H342</f>
        <v>YEARLY</v>
      </c>
      <c r="F342" s="2">
        <f>Raw_Data!I342</f>
        <v>40</v>
      </c>
      <c r="G342" s="13">
        <f>D342*INDEX(Multiplier_Lookup!$C$6:$C$9,MATCH(E342,Multiplier_Lookup!$B$6:$B$9,0))</f>
        <v>105032</v>
      </c>
      <c r="H342" s="2" t="str">
        <f t="shared" si="5"/>
        <v>Lockheed Martin|Field Engineer</v>
      </c>
    </row>
    <row r="343" spans="1:8" x14ac:dyDescent="0.35">
      <c r="A343" s="2" t="str">
        <f>Raw_Data!A343</f>
        <v>Lockheed Martin</v>
      </c>
      <c r="B343" s="2" t="str">
        <f>Raw_Data!C343</f>
        <v>Installation &amp; Maintenance</v>
      </c>
      <c r="C343" s="2" t="str">
        <f>Raw_Data!D343</f>
        <v>Mechanic</v>
      </c>
      <c r="D343" s="2">
        <f>Raw_Data!F343</f>
        <v>40.81</v>
      </c>
      <c r="E343" s="2" t="str">
        <f>Raw_Data!H343</f>
        <v>HOURLY</v>
      </c>
      <c r="F343" s="2">
        <f>Raw_Data!I343</f>
        <v>10</v>
      </c>
      <c r="G343" s="13">
        <f>D343*INDEX(Multiplier_Lookup!$C$6:$C$9,MATCH(E343,Multiplier_Lookup!$B$6:$B$9,0))</f>
        <v>84884.800000000003</v>
      </c>
      <c r="H343" s="2" t="str">
        <f t="shared" si="5"/>
        <v>Lockheed Martin|Mechanic</v>
      </c>
    </row>
    <row r="344" spans="1:8" x14ac:dyDescent="0.35">
      <c r="A344" s="2" t="str">
        <f>Raw_Data!A344</f>
        <v>Lockheed Martin</v>
      </c>
      <c r="B344" s="2" t="str">
        <f>Raw_Data!C344</f>
        <v>Installation &amp; Maintenance</v>
      </c>
      <c r="C344" s="2" t="str">
        <f>Raw_Data!D344</f>
        <v>Calibration Technician</v>
      </c>
      <c r="D344" s="2">
        <f>Raw_Data!F344</f>
        <v>41.43</v>
      </c>
      <c r="E344" s="2" t="str">
        <f>Raw_Data!H344</f>
        <v>HOURLY</v>
      </c>
      <c r="F344" s="2">
        <f>Raw_Data!I344</f>
        <v>7</v>
      </c>
      <c r="G344" s="13">
        <f>D344*INDEX(Multiplier_Lookup!$C$6:$C$9,MATCH(E344,Multiplier_Lookup!$B$6:$B$9,0))</f>
        <v>86174.399999999994</v>
      </c>
      <c r="H344" s="2" t="str">
        <f t="shared" si="5"/>
        <v>Lockheed Martin|Calibration Technician</v>
      </c>
    </row>
    <row r="345" spans="1:8" x14ac:dyDescent="0.35">
      <c r="A345" s="2" t="str">
        <f>Raw_Data!A345</f>
        <v>Lockheed Martin</v>
      </c>
      <c r="B345" s="2" t="str">
        <f>Raw_Data!C345</f>
        <v>Installation &amp; Maintenance</v>
      </c>
      <c r="C345" s="2" t="str">
        <f>Raw_Data!D345</f>
        <v>Electrician</v>
      </c>
      <c r="D345" s="2">
        <f>Raw_Data!F345</f>
        <v>39.130000000000003</v>
      </c>
      <c r="E345" s="2" t="str">
        <f>Raw_Data!H345</f>
        <v>HOURLY</v>
      </c>
      <c r="F345" s="2">
        <f>Raw_Data!I345</f>
        <v>7</v>
      </c>
      <c r="G345" s="13">
        <f>D345*INDEX(Multiplier_Lookup!$C$6:$C$9,MATCH(E345,Multiplier_Lookup!$B$6:$B$9,0))</f>
        <v>81390.400000000009</v>
      </c>
      <c r="H345" s="2" t="str">
        <f t="shared" si="5"/>
        <v>Lockheed Martin|Electrician</v>
      </c>
    </row>
    <row r="346" spans="1:8" x14ac:dyDescent="0.35">
      <c r="A346" s="2" t="str">
        <f>Raw_Data!A346</f>
        <v>Lockheed Martin</v>
      </c>
      <c r="B346" s="2" t="str">
        <f>Raw_Data!C346</f>
        <v>Installation &amp; Maintenance</v>
      </c>
      <c r="C346" s="2" t="str">
        <f>Raw_Data!D346</f>
        <v>Maintenance Mechanic</v>
      </c>
      <c r="D346" s="2">
        <f>Raw_Data!F346</f>
        <v>37.380000000000003</v>
      </c>
      <c r="E346" s="2" t="str">
        <f>Raw_Data!H346</f>
        <v>HOURLY</v>
      </c>
      <c r="F346" s="2">
        <f>Raw_Data!I346</f>
        <v>9</v>
      </c>
      <c r="G346" s="13">
        <f>D346*INDEX(Multiplier_Lookup!$C$6:$C$9,MATCH(E346,Multiplier_Lookup!$B$6:$B$9,0))</f>
        <v>77750.400000000009</v>
      </c>
      <c r="H346" s="2" t="str">
        <f t="shared" si="5"/>
        <v>Lockheed Martin|Maintenance Mechanic</v>
      </c>
    </row>
    <row r="347" spans="1:8" x14ac:dyDescent="0.35">
      <c r="A347" s="2" t="str">
        <f>Raw_Data!A347</f>
        <v>Lockheed Martin</v>
      </c>
      <c r="B347" s="2" t="str">
        <f>Raw_Data!C347</f>
        <v>Installation &amp; Maintenance</v>
      </c>
      <c r="C347" s="2" t="str">
        <f>Raw_Data!D347</f>
        <v>Avionics Technician</v>
      </c>
      <c r="D347" s="2">
        <f>Raw_Data!F347</f>
        <v>29.54</v>
      </c>
      <c r="E347" s="2" t="str">
        <f>Raw_Data!H347</f>
        <v>HOURLY</v>
      </c>
      <c r="F347" s="2">
        <f>Raw_Data!I347</f>
        <v>7</v>
      </c>
      <c r="G347" s="13">
        <f>D347*INDEX(Multiplier_Lookup!$C$6:$C$9,MATCH(E347,Multiplier_Lookup!$B$6:$B$9,0))</f>
        <v>61443.199999999997</v>
      </c>
      <c r="H347" s="2" t="str">
        <f t="shared" si="5"/>
        <v>Lockheed Martin|Avionics Technician</v>
      </c>
    </row>
    <row r="348" spans="1:8" x14ac:dyDescent="0.35">
      <c r="A348" s="2" t="str">
        <f>Raw_Data!A348</f>
        <v>Lockheed Martin</v>
      </c>
      <c r="B348" s="2" t="str">
        <f>Raw_Data!C348</f>
        <v>Installation &amp; Maintenance</v>
      </c>
      <c r="C348" s="2" t="str">
        <f>Raw_Data!D348</f>
        <v>Test Technician</v>
      </c>
      <c r="D348" s="2">
        <f>Raw_Data!F348</f>
        <v>20.98</v>
      </c>
      <c r="E348" s="2" t="str">
        <f>Raw_Data!H348</f>
        <v>HOURLY</v>
      </c>
      <c r="F348" s="2">
        <f>Raw_Data!I348</f>
        <v>3</v>
      </c>
      <c r="G348" s="13">
        <f>D348*INDEX(Multiplier_Lookup!$C$6:$C$9,MATCH(E348,Multiplier_Lookup!$B$6:$B$9,0))</f>
        <v>43638.400000000001</v>
      </c>
      <c r="H348" s="2" t="str">
        <f t="shared" si="5"/>
        <v>Lockheed Martin|Test Technician</v>
      </c>
    </row>
    <row r="349" spans="1:8" x14ac:dyDescent="0.35">
      <c r="A349" s="2" t="str">
        <f>Raw_Data!A349</f>
        <v>Lockheed Martin</v>
      </c>
      <c r="B349" s="2" t="str">
        <f>Raw_Data!C349</f>
        <v>Installation &amp; Maintenance</v>
      </c>
      <c r="C349" s="2" t="str">
        <f>Raw_Data!D349</f>
        <v>Instrument Technician</v>
      </c>
      <c r="D349" s="2">
        <f>Raw_Data!F349</f>
        <v>54242</v>
      </c>
      <c r="E349" s="2" t="str">
        <f>Raw_Data!H349</f>
        <v>YEARLY</v>
      </c>
      <c r="F349" s="2">
        <f>Raw_Data!I349</f>
        <v>10</v>
      </c>
      <c r="G349" s="13">
        <f>D349*INDEX(Multiplier_Lookup!$C$6:$C$9,MATCH(E349,Multiplier_Lookup!$B$6:$B$9,0))</f>
        <v>54242</v>
      </c>
      <c r="H349" s="2" t="str">
        <f t="shared" si="5"/>
        <v>Lockheed Martin|Instrument Technician</v>
      </c>
    </row>
    <row r="350" spans="1:8" x14ac:dyDescent="0.35">
      <c r="A350" s="2" t="str">
        <f>Raw_Data!A350</f>
        <v>Lockheed Martin</v>
      </c>
      <c r="B350" s="2" t="str">
        <f>Raw_Data!C350</f>
        <v>Installation &amp; Maintenance</v>
      </c>
      <c r="C350" s="2" t="str">
        <f>Raw_Data!D350</f>
        <v>Inspector</v>
      </c>
      <c r="D350" s="2">
        <f>Raw_Data!F350</f>
        <v>38.36</v>
      </c>
      <c r="E350" s="2" t="str">
        <f>Raw_Data!H350</f>
        <v>HOURLY</v>
      </c>
      <c r="F350" s="2">
        <f>Raw_Data!I350</f>
        <v>6</v>
      </c>
      <c r="G350" s="13">
        <f>D350*INDEX(Multiplier_Lookup!$C$6:$C$9,MATCH(E350,Multiplier_Lookup!$B$6:$B$9,0))</f>
        <v>79788.800000000003</v>
      </c>
      <c r="H350" s="2" t="str">
        <f t="shared" si="5"/>
        <v>Lockheed Martin|Inspector</v>
      </c>
    </row>
    <row r="351" spans="1:8" x14ac:dyDescent="0.35">
      <c r="A351" s="2" t="str">
        <f>Raw_Data!A351</f>
        <v>Lockheed Martin</v>
      </c>
      <c r="B351" s="2" t="str">
        <f>Raw_Data!C351</f>
        <v>Installation &amp; Maintenance</v>
      </c>
      <c r="C351" s="2" t="str">
        <f>Raw_Data!D351</f>
        <v>Senior Maintenance Mechanic</v>
      </c>
      <c r="D351" s="2">
        <f>Raw_Data!F351</f>
        <v>38.93</v>
      </c>
      <c r="E351" s="2" t="str">
        <f>Raw_Data!H351</f>
        <v>HOURLY</v>
      </c>
      <c r="F351" s="2">
        <f>Raw_Data!I351</f>
        <v>9</v>
      </c>
      <c r="G351" s="13">
        <f>D351*INDEX(Multiplier_Lookup!$C$6:$C$9,MATCH(E351,Multiplier_Lookup!$B$6:$B$9,0))</f>
        <v>80974.399999999994</v>
      </c>
      <c r="H351" s="2" t="str">
        <f t="shared" si="5"/>
        <v>Lockheed Martin|Senior Maintenance Mechanic</v>
      </c>
    </row>
    <row r="352" spans="1:8" x14ac:dyDescent="0.35">
      <c r="A352" s="2" t="str">
        <f>Raw_Data!A352</f>
        <v>General Motors (GM)</v>
      </c>
      <c r="B352" s="2" t="str">
        <f>Raw_Data!C352</f>
        <v>Mathematics</v>
      </c>
      <c r="C352" s="2" t="str">
        <f>Raw_Data!D352</f>
        <v>Business Analyst</v>
      </c>
      <c r="D352" s="2">
        <f>Raw_Data!F352</f>
        <v>94355</v>
      </c>
      <c r="E352" s="2" t="str">
        <f>Raw_Data!H352</f>
        <v>YEARLY</v>
      </c>
      <c r="F352" s="2">
        <f>Raw_Data!I352</f>
        <v>16</v>
      </c>
      <c r="G352" s="13">
        <f>D352*INDEX(Multiplier_Lookup!$C$6:$C$9,MATCH(E352,Multiplier_Lookup!$B$6:$B$9,0))</f>
        <v>94355</v>
      </c>
      <c r="H352" s="2" t="str">
        <f t="shared" si="5"/>
        <v>General Motors (GM)|Business Analyst</v>
      </c>
    </row>
    <row r="353" spans="1:8" x14ac:dyDescent="0.35">
      <c r="A353" s="2" t="str">
        <f>Raw_Data!A353</f>
        <v>General Motors (GM)</v>
      </c>
      <c r="B353" s="2" t="str">
        <f>Raw_Data!C353</f>
        <v>Mathematics</v>
      </c>
      <c r="C353" s="2" t="str">
        <f>Raw_Data!D353</f>
        <v>Analyst</v>
      </c>
      <c r="D353" s="2">
        <f>Raw_Data!F353</f>
        <v>91418</v>
      </c>
      <c r="E353" s="2" t="str">
        <f>Raw_Data!H353</f>
        <v>YEARLY</v>
      </c>
      <c r="F353" s="2">
        <f>Raw_Data!I353</f>
        <v>18</v>
      </c>
      <c r="G353" s="13">
        <f>D353*INDEX(Multiplier_Lookup!$C$6:$C$9,MATCH(E353,Multiplier_Lookup!$B$6:$B$9,0))</f>
        <v>91418</v>
      </c>
      <c r="H353" s="2" t="str">
        <f t="shared" si="5"/>
        <v>General Motors (GM)|Analyst</v>
      </c>
    </row>
    <row r="354" spans="1:8" x14ac:dyDescent="0.35">
      <c r="A354" s="2" t="str">
        <f>Raw_Data!A354</f>
        <v>General Motors (GM)</v>
      </c>
      <c r="B354" s="2" t="str">
        <f>Raw_Data!C354</f>
        <v>Mathematics</v>
      </c>
      <c r="C354" s="2" t="str">
        <f>Raw_Data!D354</f>
        <v>Data Scientist</v>
      </c>
      <c r="D354" s="2">
        <f>Raw_Data!F354</f>
        <v>103843</v>
      </c>
      <c r="E354" s="2" t="str">
        <f>Raw_Data!H354</f>
        <v>YEARLY</v>
      </c>
      <c r="F354" s="2">
        <f>Raw_Data!I354</f>
        <v>8</v>
      </c>
      <c r="G354" s="13">
        <f>D354*INDEX(Multiplier_Lookup!$C$6:$C$9,MATCH(E354,Multiplier_Lookup!$B$6:$B$9,0))</f>
        <v>103843</v>
      </c>
      <c r="H354" s="2" t="str">
        <f t="shared" si="5"/>
        <v>General Motors (GM)|Data Scientist</v>
      </c>
    </row>
    <row r="355" spans="1:8" x14ac:dyDescent="0.35">
      <c r="A355" s="2" t="str">
        <f>Raw_Data!A355</f>
        <v>General Motors (GM)</v>
      </c>
      <c r="B355" s="2" t="str">
        <f>Raw_Data!C355</f>
        <v>Mathematics</v>
      </c>
      <c r="C355" s="2" t="str">
        <f>Raw_Data!D355</f>
        <v>Business Intelligence Developer</v>
      </c>
      <c r="D355" s="2">
        <f>Raw_Data!F355</f>
        <v>120217</v>
      </c>
      <c r="E355" s="2" t="str">
        <f>Raw_Data!H355</f>
        <v>YEARLY</v>
      </c>
      <c r="F355" s="2">
        <f>Raw_Data!I355</f>
        <v>40</v>
      </c>
      <c r="G355" s="13">
        <f>D355*INDEX(Multiplier_Lookup!$C$6:$C$9,MATCH(E355,Multiplier_Lookup!$B$6:$B$9,0))</f>
        <v>120217</v>
      </c>
      <c r="H355" s="2" t="str">
        <f t="shared" si="5"/>
        <v>General Motors (GM)|Business Intelligence Developer</v>
      </c>
    </row>
    <row r="356" spans="1:8" x14ac:dyDescent="0.35">
      <c r="A356" s="2" t="str">
        <f>Raw_Data!A356</f>
        <v>General Motors (GM)</v>
      </c>
      <c r="B356" s="2" t="str">
        <f>Raw_Data!C356</f>
        <v>Mathematics</v>
      </c>
      <c r="C356" s="2" t="str">
        <f>Raw_Data!D356</f>
        <v>Senior Analyst</v>
      </c>
      <c r="D356" s="2">
        <f>Raw_Data!F356</f>
        <v>107692</v>
      </c>
      <c r="E356" s="2" t="str">
        <f>Raw_Data!H356</f>
        <v>YEARLY</v>
      </c>
      <c r="F356" s="2">
        <f>Raw_Data!I356</f>
        <v>20</v>
      </c>
      <c r="G356" s="13">
        <f>D356*INDEX(Multiplier_Lookup!$C$6:$C$9,MATCH(E356,Multiplier_Lookup!$B$6:$B$9,0))</f>
        <v>107692</v>
      </c>
      <c r="H356" s="2" t="str">
        <f t="shared" si="5"/>
        <v>General Motors (GM)|Senior Analyst</v>
      </c>
    </row>
    <row r="357" spans="1:8" x14ac:dyDescent="0.35">
      <c r="A357" s="2" t="str">
        <f>Raw_Data!A357</f>
        <v>General Motors (GM)</v>
      </c>
      <c r="B357" s="2" t="str">
        <f>Raw_Data!C357</f>
        <v>Mathematics</v>
      </c>
      <c r="C357" s="2" t="str">
        <f>Raw_Data!D357</f>
        <v>Data Analyst</v>
      </c>
      <c r="D357" s="2">
        <f>Raw_Data!F357</f>
        <v>106662</v>
      </c>
      <c r="E357" s="2" t="str">
        <f>Raw_Data!H357</f>
        <v>YEARLY</v>
      </c>
      <c r="F357" s="2">
        <f>Raw_Data!I357</f>
        <v>10</v>
      </c>
      <c r="G357" s="13">
        <f>D357*INDEX(Multiplier_Lookup!$C$6:$C$9,MATCH(E357,Multiplier_Lookup!$B$6:$B$9,0))</f>
        <v>106662</v>
      </c>
      <c r="H357" s="2" t="str">
        <f t="shared" si="5"/>
        <v>General Motors (GM)|Data Analyst</v>
      </c>
    </row>
    <row r="358" spans="1:8" x14ac:dyDescent="0.35">
      <c r="A358" s="2" t="str">
        <f>Raw_Data!A358</f>
        <v>General Motors (GM)</v>
      </c>
      <c r="B358" s="2" t="str">
        <f>Raw_Data!C358</f>
        <v>Mathematics</v>
      </c>
      <c r="C358" s="2" t="str">
        <f>Raw_Data!D358</f>
        <v>Reporting Analyst</v>
      </c>
      <c r="D358" s="2">
        <f>Raw_Data!F358</f>
        <v>100891</v>
      </c>
      <c r="E358" s="2" t="str">
        <f>Raw_Data!H358</f>
        <v>YEARLY</v>
      </c>
      <c r="F358" s="2">
        <f>Raw_Data!I358</f>
        <v>29</v>
      </c>
      <c r="G358" s="13">
        <f>D358*INDEX(Multiplier_Lookup!$C$6:$C$9,MATCH(E358,Multiplier_Lookup!$B$6:$B$9,0))</f>
        <v>100891</v>
      </c>
      <c r="H358" s="2" t="str">
        <f t="shared" si="5"/>
        <v>General Motors (GM)|Reporting Analyst</v>
      </c>
    </row>
    <row r="359" spans="1:8" x14ac:dyDescent="0.35">
      <c r="A359" s="2" t="str">
        <f>Raw_Data!A359</f>
        <v>General Motors (GM)</v>
      </c>
      <c r="B359" s="2" t="str">
        <f>Raw_Data!C359</f>
        <v>Mathematics</v>
      </c>
      <c r="C359" s="2" t="str">
        <f>Raw_Data!D359</f>
        <v>Senior Data Scientist</v>
      </c>
      <c r="D359" s="2">
        <f>Raw_Data!F359</f>
        <v>160384</v>
      </c>
      <c r="E359" s="2" t="str">
        <f>Raw_Data!H359</f>
        <v>YEARLY</v>
      </c>
      <c r="F359" s="2">
        <f>Raw_Data!I359</f>
        <v>14</v>
      </c>
      <c r="G359" s="13">
        <f>D359*INDEX(Multiplier_Lookup!$C$6:$C$9,MATCH(E359,Multiplier_Lookup!$B$6:$B$9,0))</f>
        <v>160384</v>
      </c>
      <c r="H359" s="2" t="str">
        <f t="shared" si="5"/>
        <v>General Motors (GM)|Senior Data Scientist</v>
      </c>
    </row>
    <row r="360" spans="1:8" x14ac:dyDescent="0.35">
      <c r="A360" s="2" t="str">
        <f>Raw_Data!A360</f>
        <v>General Motors (GM)</v>
      </c>
      <c r="B360" s="2" t="str">
        <f>Raw_Data!C360</f>
        <v>Mathematics</v>
      </c>
      <c r="C360" s="2" t="str">
        <f>Raw_Data!D360</f>
        <v>Lead Data Scientist</v>
      </c>
      <c r="D360" s="2">
        <f>Raw_Data!F360</f>
        <v>198469</v>
      </c>
      <c r="E360" s="2" t="str">
        <f>Raw_Data!H360</f>
        <v>YEARLY</v>
      </c>
      <c r="F360" s="2">
        <f>Raw_Data!I360</f>
        <v>20</v>
      </c>
      <c r="G360" s="13">
        <f>D360*INDEX(Multiplier_Lookup!$C$6:$C$9,MATCH(E360,Multiplier_Lookup!$B$6:$B$9,0))</f>
        <v>198469</v>
      </c>
      <c r="H360" s="2" t="str">
        <f t="shared" si="5"/>
        <v>General Motors (GM)|Lead Data Scientist</v>
      </c>
    </row>
    <row r="361" spans="1:8" x14ac:dyDescent="0.35">
      <c r="A361" s="2" t="str">
        <f>Raw_Data!A361</f>
        <v>General Motors (GM)</v>
      </c>
      <c r="B361" s="2" t="str">
        <f>Raw_Data!C361</f>
        <v>Mathematics</v>
      </c>
      <c r="C361" s="2" t="str">
        <f>Raw_Data!D361</f>
        <v>Senior Reporting Analyst</v>
      </c>
      <c r="D361" s="2">
        <f>Raw_Data!F361</f>
        <v>131743</v>
      </c>
      <c r="E361" s="2" t="str">
        <f>Raw_Data!H361</f>
        <v>YEARLY</v>
      </c>
      <c r="F361" s="2">
        <f>Raw_Data!I361</f>
        <v>15</v>
      </c>
      <c r="G361" s="13">
        <f>D361*INDEX(Multiplier_Lookup!$C$6:$C$9,MATCH(E361,Multiplier_Lookup!$B$6:$B$9,0))</f>
        <v>131743</v>
      </c>
      <c r="H361" s="2" t="str">
        <f t="shared" si="5"/>
        <v>General Motors (GM)|Senior Reporting Analyst</v>
      </c>
    </row>
    <row r="362" spans="1:8" x14ac:dyDescent="0.35">
      <c r="A362" s="2" t="str">
        <f>Raw_Data!A362</f>
        <v>Ford Motor Company</v>
      </c>
      <c r="B362" s="2" t="str">
        <f>Raw_Data!C362</f>
        <v>Management</v>
      </c>
      <c r="C362" s="2" t="str">
        <f>Raw_Data!D362</f>
        <v>Manager</v>
      </c>
      <c r="D362" s="2">
        <f>Raw_Data!F362</f>
        <v>147025</v>
      </c>
      <c r="E362" s="2" t="str">
        <f>Raw_Data!H362</f>
        <v>YEARLY</v>
      </c>
      <c r="F362" s="2">
        <f>Raw_Data!I362</f>
        <v>7</v>
      </c>
      <c r="G362" s="13">
        <f>D362*INDEX(Multiplier_Lookup!$C$6:$C$9,MATCH(E362,Multiplier_Lookup!$B$6:$B$9,0))</f>
        <v>147025</v>
      </c>
      <c r="H362" s="2" t="str">
        <f t="shared" si="5"/>
        <v>Ford Motor Company|Manager</v>
      </c>
    </row>
    <row r="363" spans="1:8" x14ac:dyDescent="0.35">
      <c r="A363" s="2" t="str">
        <f>Raw_Data!A363</f>
        <v>Ford Motor Company</v>
      </c>
      <c r="B363" s="2" t="str">
        <f>Raw_Data!C363</f>
        <v>Management</v>
      </c>
      <c r="C363" s="2" t="str">
        <f>Raw_Data!D363</f>
        <v>Supervisor</v>
      </c>
      <c r="D363" s="2">
        <f>Raw_Data!F363</f>
        <v>144506</v>
      </c>
      <c r="E363" s="2" t="str">
        <f>Raw_Data!H363</f>
        <v>YEARLY</v>
      </c>
      <c r="F363" s="2">
        <f>Raw_Data!I363</f>
        <v>9</v>
      </c>
      <c r="G363" s="13">
        <f>D363*INDEX(Multiplier_Lookup!$C$6:$C$9,MATCH(E363,Multiplier_Lookup!$B$6:$B$9,0))</f>
        <v>144506</v>
      </c>
      <c r="H363" s="2" t="str">
        <f t="shared" si="5"/>
        <v>Ford Motor Company|Supervisor</v>
      </c>
    </row>
    <row r="364" spans="1:8" x14ac:dyDescent="0.35">
      <c r="A364" s="2" t="str">
        <f>Raw_Data!A364</f>
        <v>Ford Motor Company</v>
      </c>
      <c r="B364" s="2" t="str">
        <f>Raw_Data!C364</f>
        <v>Management</v>
      </c>
      <c r="C364" s="2" t="str">
        <f>Raw_Data!D364</f>
        <v>Zone Manager</v>
      </c>
      <c r="D364" s="2">
        <f>Raw_Data!F364</f>
        <v>80463</v>
      </c>
      <c r="E364" s="2" t="str">
        <f>Raw_Data!H364</f>
        <v>YEARLY</v>
      </c>
      <c r="F364" s="2">
        <f>Raw_Data!I364</f>
        <v>6</v>
      </c>
      <c r="G364" s="13">
        <f>D364*INDEX(Multiplier_Lookup!$C$6:$C$9,MATCH(E364,Multiplier_Lookup!$B$6:$B$9,0))</f>
        <v>80463</v>
      </c>
      <c r="H364" s="2" t="str">
        <f t="shared" si="5"/>
        <v>Ford Motor Company|Zone Manager</v>
      </c>
    </row>
    <row r="365" spans="1:8" x14ac:dyDescent="0.35">
      <c r="A365" s="2" t="str">
        <f>Raw_Data!A365</f>
        <v>Ford Motor Company</v>
      </c>
      <c r="B365" s="2" t="str">
        <f>Raw_Data!C365</f>
        <v>Management</v>
      </c>
      <c r="C365" s="2" t="str">
        <f>Raw_Data!D365</f>
        <v>Director</v>
      </c>
      <c r="D365" s="2">
        <f>Raw_Data!F365</f>
        <v>213667</v>
      </c>
      <c r="E365" s="2" t="str">
        <f>Raw_Data!H365</f>
        <v>YEARLY</v>
      </c>
      <c r="F365" s="2">
        <f>Raw_Data!I365</f>
        <v>11</v>
      </c>
      <c r="G365" s="13">
        <f>D365*INDEX(Multiplier_Lookup!$C$6:$C$9,MATCH(E365,Multiplier_Lookup!$B$6:$B$9,0))</f>
        <v>213667</v>
      </c>
      <c r="H365" s="2" t="str">
        <f t="shared" si="5"/>
        <v>Ford Motor Company|Director</v>
      </c>
    </row>
    <row r="366" spans="1:8" x14ac:dyDescent="0.35">
      <c r="A366" s="2" t="str">
        <f>Raw_Data!A366</f>
        <v>Ford Motor Company</v>
      </c>
      <c r="B366" s="2" t="str">
        <f>Raw_Data!C366</f>
        <v>Management</v>
      </c>
      <c r="C366" s="2" t="str">
        <f>Raw_Data!D366</f>
        <v>Manufacturing Specialist</v>
      </c>
      <c r="D366" s="2">
        <f>Raw_Data!F366</f>
        <v>75982</v>
      </c>
      <c r="E366" s="2" t="str">
        <f>Raw_Data!H366</f>
        <v>YEARLY</v>
      </c>
      <c r="F366" s="2">
        <f>Raw_Data!I366</f>
        <v>5</v>
      </c>
      <c r="G366" s="13">
        <f>D366*INDEX(Multiplier_Lookup!$C$6:$C$9,MATCH(E366,Multiplier_Lookup!$B$6:$B$9,0))</f>
        <v>75982</v>
      </c>
      <c r="H366" s="2" t="str">
        <f t="shared" si="5"/>
        <v>Ford Motor Company|Manufacturing Specialist</v>
      </c>
    </row>
    <row r="367" spans="1:8" x14ac:dyDescent="0.35">
      <c r="A367" s="2" t="str">
        <f>Raw_Data!A367</f>
        <v>Ford Motor Company</v>
      </c>
      <c r="B367" s="2" t="str">
        <f>Raw_Data!C367</f>
        <v>Management</v>
      </c>
      <c r="C367" s="2" t="str">
        <f>Raw_Data!D367</f>
        <v>Shift Leader</v>
      </c>
      <c r="D367" s="2">
        <f>Raw_Data!F367</f>
        <v>133203</v>
      </c>
      <c r="E367" s="2" t="str">
        <f>Raw_Data!H367</f>
        <v>YEARLY</v>
      </c>
      <c r="F367" s="2">
        <f>Raw_Data!I367</f>
        <v>10</v>
      </c>
      <c r="G367" s="13">
        <f>D367*INDEX(Multiplier_Lookup!$C$6:$C$9,MATCH(E367,Multiplier_Lookup!$B$6:$B$9,0))</f>
        <v>133203</v>
      </c>
      <c r="H367" s="2" t="str">
        <f t="shared" si="5"/>
        <v>Ford Motor Company|Shift Leader</v>
      </c>
    </row>
    <row r="368" spans="1:8" x14ac:dyDescent="0.35">
      <c r="A368" s="2" t="str">
        <f>Raw_Data!A368</f>
        <v>Ford Motor Company</v>
      </c>
      <c r="B368" s="2" t="str">
        <f>Raw_Data!C368</f>
        <v>Management</v>
      </c>
      <c r="C368" s="2" t="str">
        <f>Raw_Data!D368</f>
        <v>Safety Engineer</v>
      </c>
      <c r="D368" s="2">
        <f>Raw_Data!F368</f>
        <v>104575</v>
      </c>
      <c r="E368" s="2" t="str">
        <f>Raw_Data!H368</f>
        <v>YEARLY</v>
      </c>
      <c r="F368" s="2">
        <f>Raw_Data!I368</f>
        <v>8</v>
      </c>
      <c r="G368" s="13">
        <f>D368*INDEX(Multiplier_Lookup!$C$6:$C$9,MATCH(E368,Multiplier_Lookup!$B$6:$B$9,0))</f>
        <v>104575</v>
      </c>
      <c r="H368" s="2" t="str">
        <f t="shared" si="5"/>
        <v>Ford Motor Company|Safety Engineer</v>
      </c>
    </row>
    <row r="369" spans="1:8" x14ac:dyDescent="0.35">
      <c r="A369" s="2" t="str">
        <f>Raw_Data!A369</f>
        <v>Ford Motor Company</v>
      </c>
      <c r="B369" s="2" t="str">
        <f>Raw_Data!C369</f>
        <v>Management</v>
      </c>
      <c r="C369" s="2" t="str">
        <f>Raw_Data!D369</f>
        <v>Purchasing Manager</v>
      </c>
      <c r="D369" s="2">
        <f>Raw_Data!F369</f>
        <v>142652</v>
      </c>
      <c r="E369" s="2" t="str">
        <f>Raw_Data!H369</f>
        <v>YEARLY</v>
      </c>
      <c r="F369" s="2">
        <f>Raw_Data!I369</f>
        <v>13</v>
      </c>
      <c r="G369" s="13">
        <f>D369*INDEX(Multiplier_Lookup!$C$6:$C$9,MATCH(E369,Multiplier_Lookup!$B$6:$B$9,0))</f>
        <v>142652</v>
      </c>
      <c r="H369" s="2" t="str">
        <f t="shared" si="5"/>
        <v>Ford Motor Company|Purchasing Manager</v>
      </c>
    </row>
    <row r="370" spans="1:8" x14ac:dyDescent="0.35">
      <c r="A370" s="2" t="str">
        <f>Raw_Data!A370</f>
        <v>Ford Motor Company</v>
      </c>
      <c r="B370" s="2" t="str">
        <f>Raw_Data!C370</f>
        <v>Management</v>
      </c>
      <c r="C370" s="2" t="str">
        <f>Raw_Data!D370</f>
        <v>Team Leader</v>
      </c>
      <c r="D370" s="2">
        <f>Raw_Data!F370</f>
        <v>111032</v>
      </c>
      <c r="E370" s="2" t="str">
        <f>Raw_Data!H370</f>
        <v>YEARLY</v>
      </c>
      <c r="F370" s="2">
        <f>Raw_Data!I370</f>
        <v>5</v>
      </c>
      <c r="G370" s="13">
        <f>D370*INDEX(Multiplier_Lookup!$C$6:$C$9,MATCH(E370,Multiplier_Lookup!$B$6:$B$9,0))</f>
        <v>111032</v>
      </c>
      <c r="H370" s="2" t="str">
        <f t="shared" si="5"/>
        <v>Ford Motor Company|Team Leader</v>
      </c>
    </row>
    <row r="371" spans="1:8" x14ac:dyDescent="0.35">
      <c r="A371" s="2" t="str">
        <f>Raw_Data!A371</f>
        <v>Ford Motor Company</v>
      </c>
      <c r="B371" s="2" t="str">
        <f>Raw_Data!C371</f>
        <v>Management</v>
      </c>
      <c r="C371" s="2" t="str">
        <f>Raw_Data!D371</f>
        <v>Senior Manager</v>
      </c>
      <c r="D371" s="2">
        <f>Raw_Data!F371</f>
        <v>182081</v>
      </c>
      <c r="E371" s="2" t="str">
        <f>Raw_Data!H371</f>
        <v>YEARLY</v>
      </c>
      <c r="F371" s="2">
        <f>Raw_Data!I371</f>
        <v>5</v>
      </c>
      <c r="G371" s="13">
        <f>D371*INDEX(Multiplier_Lookup!$C$6:$C$9,MATCH(E371,Multiplier_Lookup!$B$6:$B$9,0))</f>
        <v>182081</v>
      </c>
      <c r="H371" s="2" t="str">
        <f t="shared" si="5"/>
        <v>Ford Motor Company|Senior Manager</v>
      </c>
    </row>
    <row r="372" spans="1:8" x14ac:dyDescent="0.35">
      <c r="A372" s="2" t="str">
        <f>Raw_Data!A372</f>
        <v>NIKE</v>
      </c>
      <c r="B372" s="2" t="str">
        <f>Raw_Data!C372</f>
        <v>Retail</v>
      </c>
      <c r="C372" s="2" t="str">
        <f>Raw_Data!D372</f>
        <v>Retail Sales Associate</v>
      </c>
      <c r="D372" s="2">
        <f>Raw_Data!F372</f>
        <v>102766</v>
      </c>
      <c r="E372" s="2" t="str">
        <f>Raw_Data!H372</f>
        <v>YEARLY</v>
      </c>
      <c r="F372" s="2">
        <f>Raw_Data!I372</f>
        <v>15</v>
      </c>
      <c r="G372" s="13">
        <f>D372*INDEX(Multiplier_Lookup!$C$6:$C$9,MATCH(E372,Multiplier_Lookup!$B$6:$B$9,0))</f>
        <v>102766</v>
      </c>
      <c r="H372" s="2" t="str">
        <f t="shared" si="5"/>
        <v>NIKE|Retail Sales Associate</v>
      </c>
    </row>
    <row r="373" spans="1:8" x14ac:dyDescent="0.35">
      <c r="A373" s="2" t="str">
        <f>Raw_Data!A373</f>
        <v>NIKE</v>
      </c>
      <c r="B373" s="2" t="str">
        <f>Raw_Data!C373</f>
        <v>Retail</v>
      </c>
      <c r="C373" s="2" t="str">
        <f>Raw_Data!D373</f>
        <v>Merchant</v>
      </c>
      <c r="D373" s="2">
        <f>Raw_Data!F373</f>
        <v>128076</v>
      </c>
      <c r="E373" s="2" t="str">
        <f>Raw_Data!H373</f>
        <v>YEARLY</v>
      </c>
      <c r="F373" s="2">
        <f>Raw_Data!I373</f>
        <v>8</v>
      </c>
      <c r="G373" s="13">
        <f>D373*INDEX(Multiplier_Lookup!$C$6:$C$9,MATCH(E373,Multiplier_Lookup!$B$6:$B$9,0))</f>
        <v>128076</v>
      </c>
      <c r="H373" s="2" t="str">
        <f t="shared" si="5"/>
        <v>NIKE|Merchant</v>
      </c>
    </row>
    <row r="374" spans="1:8" x14ac:dyDescent="0.35">
      <c r="A374" s="2" t="str">
        <f>Raw_Data!A374</f>
        <v>NIKE</v>
      </c>
      <c r="B374" s="2" t="str">
        <f>Raw_Data!C374</f>
        <v>Retail</v>
      </c>
      <c r="C374" s="2" t="str">
        <f>Raw_Data!D374</f>
        <v>Merchandise Manager</v>
      </c>
      <c r="D374" s="2">
        <f>Raw_Data!F374</f>
        <v>98507</v>
      </c>
      <c r="E374" s="2" t="str">
        <f>Raw_Data!H374</f>
        <v>YEARLY</v>
      </c>
      <c r="F374" s="2">
        <f>Raw_Data!I374</f>
        <v>9</v>
      </c>
      <c r="G374" s="13">
        <f>D374*INDEX(Multiplier_Lookup!$C$6:$C$9,MATCH(E374,Multiplier_Lookup!$B$6:$B$9,0))</f>
        <v>98507</v>
      </c>
      <c r="H374" s="2" t="str">
        <f t="shared" si="5"/>
        <v>NIKE|Merchandise Manager</v>
      </c>
    </row>
    <row r="375" spans="1:8" x14ac:dyDescent="0.35">
      <c r="A375" s="2" t="str">
        <f>Raw_Data!A375</f>
        <v>NIKE</v>
      </c>
      <c r="B375" s="2" t="str">
        <f>Raw_Data!C375</f>
        <v>Retail</v>
      </c>
      <c r="C375" s="2" t="str">
        <f>Raw_Data!D375</f>
        <v>Apparel Associate</v>
      </c>
      <c r="D375" s="2">
        <f>Raw_Data!F375</f>
        <v>166216</v>
      </c>
      <c r="E375" s="2" t="str">
        <f>Raw_Data!H375</f>
        <v>YEARLY</v>
      </c>
      <c r="F375" s="2">
        <f>Raw_Data!I375</f>
        <v>5</v>
      </c>
      <c r="G375" s="13">
        <f>D375*INDEX(Multiplier_Lookup!$C$6:$C$9,MATCH(E375,Multiplier_Lookup!$B$6:$B$9,0))</f>
        <v>166216</v>
      </c>
      <c r="H375" s="2" t="str">
        <f t="shared" si="5"/>
        <v>NIKE|Apparel Associate</v>
      </c>
    </row>
    <row r="376" spans="1:8" x14ac:dyDescent="0.35">
      <c r="A376" s="2" t="str">
        <f>Raw_Data!A376</f>
        <v>NIKE</v>
      </c>
      <c r="B376" s="2" t="str">
        <f>Raw_Data!C376</f>
        <v>Retail</v>
      </c>
      <c r="C376" s="2" t="str">
        <f>Raw_Data!D376</f>
        <v>Merchandising Director</v>
      </c>
      <c r="D376" s="2">
        <f>Raw_Data!F376</f>
        <v>204603</v>
      </c>
      <c r="E376" s="2" t="str">
        <f>Raw_Data!H376</f>
        <v>YEARLY</v>
      </c>
      <c r="F376" s="2">
        <f>Raw_Data!I376</f>
        <v>6</v>
      </c>
      <c r="G376" s="13">
        <f>D376*INDEX(Multiplier_Lookup!$C$6:$C$9,MATCH(E376,Multiplier_Lookup!$B$6:$B$9,0))</f>
        <v>204603</v>
      </c>
      <c r="H376" s="2" t="str">
        <f t="shared" si="5"/>
        <v>NIKE|Merchandising Director</v>
      </c>
    </row>
    <row r="377" spans="1:8" x14ac:dyDescent="0.35">
      <c r="A377" s="2" t="str">
        <f>Raw_Data!A377</f>
        <v>NIKE</v>
      </c>
      <c r="B377" s="2" t="str">
        <f>Raw_Data!C377</f>
        <v>Retail</v>
      </c>
      <c r="C377" s="2" t="str">
        <f>Raw_Data!D377</f>
        <v>Merchandiser</v>
      </c>
      <c r="D377" s="2">
        <f>Raw_Data!F377</f>
        <v>114208</v>
      </c>
      <c r="E377" s="2" t="str">
        <f>Raw_Data!H377</f>
        <v>YEARLY</v>
      </c>
      <c r="F377" s="2">
        <f>Raw_Data!I377</f>
        <v>6</v>
      </c>
      <c r="G377" s="13">
        <f>D377*INDEX(Multiplier_Lookup!$C$6:$C$9,MATCH(E377,Multiplier_Lookup!$B$6:$B$9,0))</f>
        <v>114208</v>
      </c>
      <c r="H377" s="2" t="str">
        <f t="shared" si="5"/>
        <v>NIKE|Merchandiser</v>
      </c>
    </row>
    <row r="378" spans="1:8" x14ac:dyDescent="0.35">
      <c r="A378" s="2" t="str">
        <f>Raw_Data!A378</f>
        <v>NIKE</v>
      </c>
      <c r="B378" s="2" t="str">
        <f>Raw_Data!C378</f>
        <v>Retail</v>
      </c>
      <c r="C378" s="2" t="str">
        <f>Raw_Data!D378</f>
        <v>Seasonal Associate</v>
      </c>
      <c r="D378" s="2">
        <f>Raw_Data!F378</f>
        <v>15.88</v>
      </c>
      <c r="E378" s="2" t="str">
        <f>Raw_Data!H378</f>
        <v>HOURLY</v>
      </c>
      <c r="F378" s="2">
        <f>Raw_Data!I378</f>
        <v>5</v>
      </c>
      <c r="G378" s="13">
        <f>D378*INDEX(Multiplier_Lookup!$C$6:$C$9,MATCH(E378,Multiplier_Lookup!$B$6:$B$9,0))</f>
        <v>33030.400000000001</v>
      </c>
      <c r="H378" s="2" t="str">
        <f t="shared" si="5"/>
        <v>NIKE|Seasonal Associate</v>
      </c>
    </row>
    <row r="379" spans="1:8" x14ac:dyDescent="0.35">
      <c r="A379" s="2" t="str">
        <f>Raw_Data!A379</f>
        <v>NIKE</v>
      </c>
      <c r="B379" s="2" t="str">
        <f>Raw_Data!C379</f>
        <v>Retail</v>
      </c>
      <c r="C379" s="2" t="str">
        <f>Raw_Data!D379</f>
        <v>Senior Retail Sales Associate</v>
      </c>
      <c r="D379" s="2">
        <f>Raw_Data!F379</f>
        <v>117531</v>
      </c>
      <c r="E379" s="2" t="str">
        <f>Raw_Data!H379</f>
        <v>YEARLY</v>
      </c>
      <c r="F379" s="2">
        <f>Raw_Data!I379</f>
        <v>1</v>
      </c>
      <c r="G379" s="13">
        <f>D379*INDEX(Multiplier_Lookup!$C$6:$C$9,MATCH(E379,Multiplier_Lookup!$B$6:$B$9,0))</f>
        <v>117531</v>
      </c>
      <c r="H379" s="2" t="str">
        <f t="shared" si="5"/>
        <v>NIKE|Senior Retail Sales Associate</v>
      </c>
    </row>
    <row r="380" spans="1:8" x14ac:dyDescent="0.35">
      <c r="A380" s="2" t="str">
        <f>Raw_Data!A380</f>
        <v>NIKE</v>
      </c>
      <c r="B380" s="2" t="str">
        <f>Raw_Data!C380</f>
        <v>Retail</v>
      </c>
      <c r="C380" s="2" t="str">
        <f>Raw_Data!D380</f>
        <v>Merchandising Specialist</v>
      </c>
      <c r="D380" s="2">
        <f>Raw_Data!F380</f>
        <v>69310</v>
      </c>
      <c r="E380" s="2" t="str">
        <f>Raw_Data!H380</f>
        <v>YEARLY</v>
      </c>
      <c r="F380" s="2">
        <f>Raw_Data!I380</f>
        <v>4</v>
      </c>
      <c r="G380" s="13">
        <f>D380*INDEX(Multiplier_Lookup!$C$6:$C$9,MATCH(E380,Multiplier_Lookup!$B$6:$B$9,0))</f>
        <v>69310</v>
      </c>
      <c r="H380" s="2" t="str">
        <f t="shared" si="5"/>
        <v>NIKE|Merchandising Specialist</v>
      </c>
    </row>
    <row r="381" spans="1:8" x14ac:dyDescent="0.35">
      <c r="A381" s="2" t="str">
        <f>Raw_Data!A381</f>
        <v>NIKE</v>
      </c>
      <c r="B381" s="2" t="str">
        <f>Raw_Data!C381</f>
        <v>Retail</v>
      </c>
      <c r="C381" s="2" t="str">
        <f>Raw_Data!D381</f>
        <v>Associate Merchant</v>
      </c>
      <c r="D381" s="2">
        <f>Raw_Data!F381</f>
        <v>69152</v>
      </c>
      <c r="E381" s="2" t="str">
        <f>Raw_Data!H381</f>
        <v>YEARLY</v>
      </c>
      <c r="F381" s="2">
        <f>Raw_Data!I381</f>
        <v>4</v>
      </c>
      <c r="G381" s="13">
        <f>D381*INDEX(Multiplier_Lookup!$C$6:$C$9,MATCH(E381,Multiplier_Lookup!$B$6:$B$9,0))</f>
        <v>69152</v>
      </c>
      <c r="H381" s="2" t="str">
        <f t="shared" si="5"/>
        <v>NIKE|Associate Merchant</v>
      </c>
    </row>
    <row r="382" spans="1:8" x14ac:dyDescent="0.35">
      <c r="A382" s="2" t="str">
        <f>Raw_Data!A382</f>
        <v>PepsiCo</v>
      </c>
      <c r="B382" s="2" t="str">
        <f>Raw_Data!C382</f>
        <v>Sales</v>
      </c>
      <c r="C382" s="2" t="str">
        <f>Raw_Data!D382</f>
        <v>Sales Representative</v>
      </c>
      <c r="D382" s="2">
        <f>Raw_Data!F382</f>
        <v>66990</v>
      </c>
      <c r="E382" s="2" t="str">
        <f>Raw_Data!H382</f>
        <v>YEARLY</v>
      </c>
      <c r="F382" s="2">
        <f>Raw_Data!I382</f>
        <v>17</v>
      </c>
      <c r="G382" s="13">
        <f>D382*INDEX(Multiplier_Lookup!$C$6:$C$9,MATCH(E382,Multiplier_Lookup!$B$6:$B$9,0))</f>
        <v>66990</v>
      </c>
      <c r="H382" s="2" t="str">
        <f t="shared" si="5"/>
        <v>PepsiCo|Sales Representative</v>
      </c>
    </row>
    <row r="383" spans="1:8" x14ac:dyDescent="0.35">
      <c r="A383" s="2" t="str">
        <f>Raw_Data!A383</f>
        <v>PepsiCo</v>
      </c>
      <c r="B383" s="2" t="str">
        <f>Raw_Data!C383</f>
        <v>Sales</v>
      </c>
      <c r="C383" s="2" t="str">
        <f>Raw_Data!D383</f>
        <v>Sales Associate</v>
      </c>
      <c r="D383" s="2">
        <f>Raw_Data!F383</f>
        <v>55187</v>
      </c>
      <c r="E383" s="2" t="str">
        <f>Raw_Data!H383</f>
        <v>YEARLY</v>
      </c>
      <c r="F383" s="2">
        <f>Raw_Data!I383</f>
        <v>11</v>
      </c>
      <c r="G383" s="13">
        <f>D383*INDEX(Multiplier_Lookup!$C$6:$C$9,MATCH(E383,Multiplier_Lookup!$B$6:$B$9,0))</f>
        <v>55187</v>
      </c>
      <c r="H383" s="2" t="str">
        <f t="shared" si="5"/>
        <v>PepsiCo|Sales Associate</v>
      </c>
    </row>
    <row r="384" spans="1:8" x14ac:dyDescent="0.35">
      <c r="A384" s="2" t="str">
        <f>Raw_Data!A384</f>
        <v>PepsiCo</v>
      </c>
      <c r="B384" s="2" t="str">
        <f>Raw_Data!C384</f>
        <v>Sales</v>
      </c>
      <c r="C384" s="2" t="str">
        <f>Raw_Data!D384</f>
        <v>Key Account Manager</v>
      </c>
      <c r="D384" s="2">
        <f>Raw_Data!F384</f>
        <v>82192</v>
      </c>
      <c r="E384" s="2" t="str">
        <f>Raw_Data!H384</f>
        <v>YEARLY</v>
      </c>
      <c r="F384" s="2">
        <f>Raw_Data!I384</f>
        <v>5</v>
      </c>
      <c r="G384" s="13">
        <f>D384*INDEX(Multiplier_Lookup!$C$6:$C$9,MATCH(E384,Multiplier_Lookup!$B$6:$B$9,0))</f>
        <v>82192</v>
      </c>
      <c r="H384" s="2" t="str">
        <f t="shared" si="5"/>
        <v>PepsiCo|Key Account Manager</v>
      </c>
    </row>
    <row r="385" spans="1:8" x14ac:dyDescent="0.35">
      <c r="A385" s="2" t="str">
        <f>Raw_Data!A385</f>
        <v>PepsiCo</v>
      </c>
      <c r="B385" s="2" t="str">
        <f>Raw_Data!C385</f>
        <v>Sales</v>
      </c>
      <c r="C385" s="2" t="str">
        <f>Raw_Data!D385</f>
        <v>Sales Intern</v>
      </c>
      <c r="D385" s="2">
        <f>Raw_Data!F385</f>
        <v>23.67</v>
      </c>
      <c r="E385" s="2" t="str">
        <f>Raw_Data!H385</f>
        <v>HOURLY</v>
      </c>
      <c r="F385" s="2">
        <f>Raw_Data!I385</f>
        <v>15</v>
      </c>
      <c r="G385" s="13">
        <f>D385*INDEX(Multiplier_Lookup!$C$6:$C$9,MATCH(E385,Multiplier_Lookup!$B$6:$B$9,0))</f>
        <v>49233.600000000006</v>
      </c>
      <c r="H385" s="2" t="str">
        <f t="shared" si="5"/>
        <v>PepsiCo|Sales Intern</v>
      </c>
    </row>
    <row r="386" spans="1:8" x14ac:dyDescent="0.35">
      <c r="A386" s="2" t="str">
        <f>Raw_Data!A386</f>
        <v>PepsiCo</v>
      </c>
      <c r="B386" s="2" t="str">
        <f>Raw_Data!C386</f>
        <v>Sales</v>
      </c>
      <c r="C386" s="2" t="str">
        <f>Raw_Data!D386</f>
        <v>Account Manager</v>
      </c>
      <c r="D386" s="2">
        <f>Raw_Data!F386</f>
        <v>78068</v>
      </c>
      <c r="E386" s="2" t="str">
        <f>Raw_Data!H386</f>
        <v>YEARLY</v>
      </c>
      <c r="F386" s="2">
        <f>Raw_Data!I386</f>
        <v>8</v>
      </c>
      <c r="G386" s="13">
        <f>D386*INDEX(Multiplier_Lookup!$C$6:$C$9,MATCH(E386,Multiplier_Lookup!$B$6:$B$9,0))</f>
        <v>78068</v>
      </c>
      <c r="H386" s="2" t="str">
        <f t="shared" ref="H386:H449" si="6">A386&amp;"|"&amp;C386</f>
        <v>PepsiCo|Account Manager</v>
      </c>
    </row>
    <row r="387" spans="1:8" x14ac:dyDescent="0.35">
      <c r="A387" s="2" t="str">
        <f>Raw_Data!A387</f>
        <v>PepsiCo</v>
      </c>
      <c r="B387" s="2" t="str">
        <f>Raw_Data!C387</f>
        <v>Sales</v>
      </c>
      <c r="C387" s="2" t="str">
        <f>Raw_Data!D387</f>
        <v>Sales Manager</v>
      </c>
      <c r="D387" s="2">
        <f>Raw_Data!F387</f>
        <v>75817</v>
      </c>
      <c r="E387" s="2" t="str">
        <f>Raw_Data!H387</f>
        <v>YEARLY</v>
      </c>
      <c r="F387" s="2">
        <f>Raw_Data!I387</f>
        <v>10</v>
      </c>
      <c r="G387" s="13">
        <f>D387*INDEX(Multiplier_Lookup!$C$6:$C$9,MATCH(E387,Multiplier_Lookup!$B$6:$B$9,0))</f>
        <v>75817</v>
      </c>
      <c r="H387" s="2" t="str">
        <f t="shared" si="6"/>
        <v>PepsiCo|Sales Manager</v>
      </c>
    </row>
    <row r="388" spans="1:8" x14ac:dyDescent="0.35">
      <c r="A388" s="2" t="str">
        <f>Raw_Data!A388</f>
        <v>PepsiCo</v>
      </c>
      <c r="B388" s="2" t="str">
        <f>Raw_Data!C388</f>
        <v>Sales</v>
      </c>
      <c r="C388" s="2" t="str">
        <f>Raw_Data!D388</f>
        <v>Parts Manager</v>
      </c>
      <c r="D388" s="2">
        <f>Raw_Data!F388</f>
        <v>64050</v>
      </c>
      <c r="E388" s="2" t="str">
        <f>Raw_Data!H388</f>
        <v>YEARLY</v>
      </c>
      <c r="F388" s="2">
        <f>Raw_Data!I388</f>
        <v>5</v>
      </c>
      <c r="G388" s="13">
        <f>D388*INDEX(Multiplier_Lookup!$C$6:$C$9,MATCH(E388,Multiplier_Lookup!$B$6:$B$9,0))</f>
        <v>64050</v>
      </c>
      <c r="H388" s="2" t="str">
        <f t="shared" si="6"/>
        <v>PepsiCo|Parts Manager</v>
      </c>
    </row>
    <row r="389" spans="1:8" x14ac:dyDescent="0.35">
      <c r="A389" s="2" t="str">
        <f>Raw_Data!A389</f>
        <v>PepsiCo</v>
      </c>
      <c r="B389" s="2" t="str">
        <f>Raw_Data!C389</f>
        <v>Sales</v>
      </c>
      <c r="C389" s="2" t="str">
        <f>Raw_Data!D389</f>
        <v>District Sales Manager</v>
      </c>
      <c r="D389" s="2">
        <f>Raw_Data!F389</f>
        <v>71251</v>
      </c>
      <c r="E389" s="2" t="str">
        <f>Raw_Data!H389</f>
        <v>YEARLY</v>
      </c>
      <c r="F389" s="2">
        <f>Raw_Data!I389</f>
        <v>6</v>
      </c>
      <c r="G389" s="13">
        <f>D389*INDEX(Multiplier_Lookup!$C$6:$C$9,MATCH(E389,Multiplier_Lookup!$B$6:$B$9,0))</f>
        <v>71251</v>
      </c>
      <c r="H389" s="2" t="str">
        <f t="shared" si="6"/>
        <v>PepsiCo|District Sales Manager</v>
      </c>
    </row>
    <row r="390" spans="1:8" x14ac:dyDescent="0.35">
      <c r="A390" s="2" t="str">
        <f>Raw_Data!A390</f>
        <v>PepsiCo</v>
      </c>
      <c r="B390" s="2" t="str">
        <f>Raw_Data!C390</f>
        <v>Sales</v>
      </c>
      <c r="C390" s="2" t="str">
        <f>Raw_Data!D390</f>
        <v>Account Specialist</v>
      </c>
      <c r="D390" s="2">
        <f>Raw_Data!F390</f>
        <v>70545</v>
      </c>
      <c r="E390" s="2" t="str">
        <f>Raw_Data!H390</f>
        <v>YEARLY</v>
      </c>
      <c r="F390" s="2">
        <f>Raw_Data!I390</f>
        <v>9</v>
      </c>
      <c r="G390" s="13">
        <f>D390*INDEX(Multiplier_Lookup!$C$6:$C$9,MATCH(E390,Multiplier_Lookup!$B$6:$B$9,0))</f>
        <v>70545</v>
      </c>
      <c r="H390" s="2" t="str">
        <f t="shared" si="6"/>
        <v>PepsiCo|Account Specialist</v>
      </c>
    </row>
    <row r="391" spans="1:8" x14ac:dyDescent="0.35">
      <c r="A391" s="2" t="str">
        <f>Raw_Data!A391</f>
        <v>PepsiCo</v>
      </c>
      <c r="B391" s="2" t="str">
        <f>Raw_Data!C391</f>
        <v>Sales</v>
      </c>
      <c r="C391" s="2" t="str">
        <f>Raw_Data!D391</f>
        <v>Sales Coordinator</v>
      </c>
      <c r="D391" s="2">
        <f>Raw_Data!F391</f>
        <v>44475</v>
      </c>
      <c r="E391" s="2" t="str">
        <f>Raw_Data!H391</f>
        <v>YEARLY</v>
      </c>
      <c r="F391" s="2">
        <f>Raw_Data!I391</f>
        <v>4</v>
      </c>
      <c r="G391" s="13">
        <f>D391*INDEX(Multiplier_Lookup!$C$6:$C$9,MATCH(E391,Multiplier_Lookup!$B$6:$B$9,0))</f>
        <v>44475</v>
      </c>
      <c r="H391" s="2" t="str">
        <f t="shared" si="6"/>
        <v>PepsiCo|Sales Coordinator</v>
      </c>
    </row>
    <row r="392" spans="1:8" x14ac:dyDescent="0.35">
      <c r="A392" s="2" t="str">
        <f>Raw_Data!A392</f>
        <v>UnitedHealth Group</v>
      </c>
      <c r="B392" s="2" t="str">
        <f>Raw_Data!C392</f>
        <v>Customer Service</v>
      </c>
      <c r="C392" s="2" t="str">
        <f>Raw_Data!D392</f>
        <v>Customer Service Representative</v>
      </c>
      <c r="D392" s="2">
        <f>Raw_Data!F392</f>
        <v>18.46</v>
      </c>
      <c r="E392" s="2" t="str">
        <f>Raw_Data!H392</f>
        <v>HOURLY</v>
      </c>
      <c r="F392" s="2">
        <f>Raw_Data!I392</f>
        <v>7</v>
      </c>
      <c r="G392" s="13">
        <f>D392*INDEX(Multiplier_Lookup!$C$6:$C$9,MATCH(E392,Multiplier_Lookup!$B$6:$B$9,0))</f>
        <v>38396.800000000003</v>
      </c>
      <c r="H392" s="2" t="str">
        <f t="shared" si="6"/>
        <v>UnitedHealth Group|Customer Service Representative</v>
      </c>
    </row>
    <row r="393" spans="1:8" x14ac:dyDescent="0.35">
      <c r="A393" s="2" t="str">
        <f>Raw_Data!A393</f>
        <v>UnitedHealth Group</v>
      </c>
      <c r="B393" s="2" t="str">
        <f>Raw_Data!C393</f>
        <v>Customer Service</v>
      </c>
      <c r="C393" s="2" t="str">
        <f>Raw_Data!D393</f>
        <v>Bilingual Customer Service Associate</v>
      </c>
      <c r="D393" s="2">
        <f>Raw_Data!F393</f>
        <v>23.53</v>
      </c>
      <c r="E393" s="2" t="str">
        <f>Raw_Data!H393</f>
        <v>HOURLY</v>
      </c>
      <c r="F393" s="2">
        <f>Raw_Data!I393</f>
        <v>17</v>
      </c>
      <c r="G393" s="13">
        <f>D393*INDEX(Multiplier_Lookup!$C$6:$C$9,MATCH(E393,Multiplier_Lookup!$B$6:$B$9,0))</f>
        <v>48942.400000000001</v>
      </c>
      <c r="H393" s="2" t="str">
        <f t="shared" si="6"/>
        <v>UnitedHealth Group|Bilingual Customer Service Associate</v>
      </c>
    </row>
    <row r="394" spans="1:8" x14ac:dyDescent="0.35">
      <c r="A394" s="2" t="str">
        <f>Raw_Data!A394</f>
        <v>UnitedHealth Group</v>
      </c>
      <c r="B394" s="2" t="str">
        <f>Raw_Data!C394</f>
        <v>Customer Service</v>
      </c>
      <c r="C394" s="2" t="str">
        <f>Raw_Data!D394</f>
        <v>Healthcare Customer Service Representative</v>
      </c>
      <c r="D394" s="2">
        <f>Raw_Data!F394</f>
        <v>22.67</v>
      </c>
      <c r="E394" s="2" t="str">
        <f>Raw_Data!H394</f>
        <v>HOURLY</v>
      </c>
      <c r="F394" s="2">
        <f>Raw_Data!I394</f>
        <v>5</v>
      </c>
      <c r="G394" s="13">
        <f>D394*INDEX(Multiplier_Lookup!$C$6:$C$9,MATCH(E394,Multiplier_Lookup!$B$6:$B$9,0))</f>
        <v>47153.600000000006</v>
      </c>
      <c r="H394" s="2" t="str">
        <f t="shared" si="6"/>
        <v>UnitedHealth Group|Healthcare Customer Service Representative</v>
      </c>
    </row>
    <row r="395" spans="1:8" x14ac:dyDescent="0.35">
      <c r="A395" s="2" t="str">
        <f>Raw_Data!A395</f>
        <v>UnitedHealth Group</v>
      </c>
      <c r="B395" s="2" t="str">
        <f>Raw_Data!C395</f>
        <v>Customer Service</v>
      </c>
      <c r="C395" s="2" t="str">
        <f>Raw_Data!D395</f>
        <v>Customer Advocate</v>
      </c>
      <c r="D395" s="2">
        <f>Raw_Data!F395</f>
        <v>18.98</v>
      </c>
      <c r="E395" s="2" t="str">
        <f>Raw_Data!H395</f>
        <v>HOURLY</v>
      </c>
      <c r="F395" s="2">
        <f>Raw_Data!I395</f>
        <v>6</v>
      </c>
      <c r="G395" s="13">
        <f>D395*INDEX(Multiplier_Lookup!$C$6:$C$9,MATCH(E395,Multiplier_Lookup!$B$6:$B$9,0))</f>
        <v>39478.400000000001</v>
      </c>
      <c r="H395" s="2" t="str">
        <f t="shared" si="6"/>
        <v>UnitedHealth Group|Customer Advocate</v>
      </c>
    </row>
    <row r="396" spans="1:8" x14ac:dyDescent="0.35">
      <c r="A396" s="2" t="str">
        <f>Raw_Data!A396</f>
        <v>UnitedHealth Group</v>
      </c>
      <c r="B396" s="2" t="str">
        <f>Raw_Data!C396</f>
        <v>Customer Service</v>
      </c>
      <c r="C396" s="2" t="str">
        <f>Raw_Data!D396</f>
        <v>Support Specialist</v>
      </c>
      <c r="D396" s="2">
        <f>Raw_Data!F396</f>
        <v>24.04</v>
      </c>
      <c r="E396" s="2" t="str">
        <f>Raw_Data!H396</f>
        <v>HOURLY</v>
      </c>
      <c r="F396" s="2">
        <f>Raw_Data!I396</f>
        <v>7</v>
      </c>
      <c r="G396" s="13">
        <f>D396*INDEX(Multiplier_Lookup!$C$6:$C$9,MATCH(E396,Multiplier_Lookup!$B$6:$B$9,0))</f>
        <v>50003.199999999997</v>
      </c>
      <c r="H396" s="2" t="str">
        <f t="shared" si="6"/>
        <v>UnitedHealth Group|Support Specialist</v>
      </c>
    </row>
    <row r="397" spans="1:8" x14ac:dyDescent="0.35">
      <c r="A397" s="2" t="str">
        <f>Raw_Data!A397</f>
        <v>UnitedHealth Group</v>
      </c>
      <c r="B397" s="2" t="str">
        <f>Raw_Data!C397</f>
        <v>Customer Service</v>
      </c>
      <c r="C397" s="2" t="str">
        <f>Raw_Data!D397</f>
        <v>Senior Customer Service Representative</v>
      </c>
      <c r="D397" s="2">
        <f>Raw_Data!F397</f>
        <v>22.18</v>
      </c>
      <c r="E397" s="2" t="str">
        <f>Raw_Data!H397</f>
        <v>HOURLY</v>
      </c>
      <c r="F397" s="2">
        <f>Raw_Data!I397</f>
        <v>4</v>
      </c>
      <c r="G397" s="13">
        <f>D397*INDEX(Multiplier_Lookup!$C$6:$C$9,MATCH(E397,Multiplier_Lookup!$B$6:$B$9,0))</f>
        <v>46134.400000000001</v>
      </c>
      <c r="H397" s="2" t="str">
        <f t="shared" si="6"/>
        <v>UnitedHealth Group|Senior Customer Service Representative</v>
      </c>
    </row>
    <row r="398" spans="1:8" x14ac:dyDescent="0.35">
      <c r="A398" s="2" t="str">
        <f>Raw_Data!A398</f>
        <v>UnitedHealth Group</v>
      </c>
      <c r="B398" s="2" t="str">
        <f>Raw_Data!C398</f>
        <v>Customer Service</v>
      </c>
      <c r="C398" s="2" t="str">
        <f>Raw_Data!D398</f>
        <v>Customer Support Representative</v>
      </c>
      <c r="D398" s="2">
        <f>Raw_Data!F398</f>
        <v>23.21</v>
      </c>
      <c r="E398" s="2" t="str">
        <f>Raw_Data!H398</f>
        <v>HOURLY</v>
      </c>
      <c r="F398" s="2">
        <f>Raw_Data!I398</f>
        <v>3</v>
      </c>
      <c r="G398" s="13">
        <f>D398*INDEX(Multiplier_Lookup!$C$6:$C$9,MATCH(E398,Multiplier_Lookup!$B$6:$B$9,0))</f>
        <v>48276.800000000003</v>
      </c>
      <c r="H398" s="2" t="str">
        <f t="shared" si="6"/>
        <v>UnitedHealth Group|Customer Support Representative</v>
      </c>
    </row>
    <row r="399" spans="1:8" x14ac:dyDescent="0.35">
      <c r="A399" s="2" t="str">
        <f>Raw_Data!A399</f>
        <v>UnitedHealth Group</v>
      </c>
      <c r="B399" s="2" t="str">
        <f>Raw_Data!C399</f>
        <v>Customer Service</v>
      </c>
      <c r="C399" s="2" t="str">
        <f>Raw_Data!D399</f>
        <v>Enrollment and Eligibility Representative</v>
      </c>
      <c r="D399" s="2">
        <f>Raw_Data!F399</f>
        <v>23.79</v>
      </c>
      <c r="E399" s="2" t="str">
        <f>Raw_Data!H399</f>
        <v>HOURLY</v>
      </c>
      <c r="F399" s="2">
        <f>Raw_Data!I399</f>
        <v>2</v>
      </c>
      <c r="G399" s="13">
        <f>D399*INDEX(Multiplier_Lookup!$C$6:$C$9,MATCH(E399,Multiplier_Lookup!$B$6:$B$9,0))</f>
        <v>49483.199999999997</v>
      </c>
      <c r="H399" s="2" t="str">
        <f t="shared" si="6"/>
        <v>UnitedHealth Group|Enrollment and Eligibility Representative</v>
      </c>
    </row>
    <row r="400" spans="1:8" x14ac:dyDescent="0.35">
      <c r="A400" s="2" t="str">
        <f>Raw_Data!A400</f>
        <v>UnitedHealth Group</v>
      </c>
      <c r="B400" s="2" t="str">
        <f>Raw_Data!C400</f>
        <v>Customer Service</v>
      </c>
      <c r="C400" s="2" t="str">
        <f>Raw_Data!D400</f>
        <v>Sales Support Representative</v>
      </c>
      <c r="D400" s="2">
        <f>Raw_Data!F400</f>
        <v>23.82</v>
      </c>
      <c r="E400" s="2" t="str">
        <f>Raw_Data!H400</f>
        <v>HOURLY</v>
      </c>
      <c r="F400" s="2">
        <f>Raw_Data!I400</f>
        <v>1</v>
      </c>
      <c r="G400" s="13">
        <f>D400*INDEX(Multiplier_Lookup!$C$6:$C$9,MATCH(E400,Multiplier_Lookup!$B$6:$B$9,0))</f>
        <v>49545.599999999999</v>
      </c>
      <c r="H400" s="2" t="str">
        <f t="shared" si="6"/>
        <v>UnitedHealth Group|Sales Support Representative</v>
      </c>
    </row>
    <row r="401" spans="1:8" x14ac:dyDescent="0.35">
      <c r="A401" s="2" t="str">
        <f>Raw_Data!A401</f>
        <v>UnitedHealth Group</v>
      </c>
      <c r="B401" s="2" t="str">
        <f>Raw_Data!C401</f>
        <v>Customer Service</v>
      </c>
      <c r="C401" s="2" t="str">
        <f>Raw_Data!D401</f>
        <v>Member Advocate</v>
      </c>
      <c r="D401" s="2">
        <f>Raw_Data!F401</f>
        <v>33000</v>
      </c>
      <c r="E401" s="2" t="str">
        <f>Raw_Data!H401</f>
        <v>YEARLY</v>
      </c>
      <c r="F401" s="2">
        <f>Raw_Data!I401</f>
        <v>1</v>
      </c>
      <c r="G401" s="13">
        <f>D401*INDEX(Multiplier_Lookup!$C$6:$C$9,MATCH(E401,Multiplier_Lookup!$B$6:$B$9,0))</f>
        <v>33000</v>
      </c>
      <c r="H401" s="2" t="str">
        <f t="shared" si="6"/>
        <v>UnitedHealth Group|Member Advocate</v>
      </c>
    </row>
    <row r="402" spans="1:8" x14ac:dyDescent="0.35">
      <c r="A402" s="2" t="str">
        <f>Raw_Data!A402</f>
        <v>Humana</v>
      </c>
      <c r="B402" s="2" t="str">
        <f>Raw_Data!C402</f>
        <v>Mathematics</v>
      </c>
      <c r="C402" s="2" t="str">
        <f>Raw_Data!D402</f>
        <v>Business Intelligence Developer</v>
      </c>
      <c r="D402" s="2">
        <f>Raw_Data!F402</f>
        <v>91602</v>
      </c>
      <c r="E402" s="2" t="str">
        <f>Raw_Data!H402</f>
        <v>YEARLY</v>
      </c>
      <c r="F402" s="2">
        <f>Raw_Data!I402</f>
        <v>129</v>
      </c>
      <c r="G402" s="13">
        <f>D402*INDEX(Multiplier_Lookup!$C$6:$C$9,MATCH(E402,Multiplier_Lookup!$B$6:$B$9,0))</f>
        <v>91602</v>
      </c>
      <c r="H402" s="2" t="str">
        <f t="shared" si="6"/>
        <v>Humana|Business Intelligence Developer</v>
      </c>
    </row>
    <row r="403" spans="1:8" x14ac:dyDescent="0.35">
      <c r="A403" s="2" t="str">
        <f>Raw_Data!A403</f>
        <v>Humana</v>
      </c>
      <c r="B403" s="2" t="str">
        <f>Raw_Data!C403</f>
        <v>Mathematics</v>
      </c>
      <c r="C403" s="2" t="str">
        <f>Raw_Data!D403</f>
        <v>Senior Data Scientist</v>
      </c>
      <c r="D403" s="2">
        <f>Raw_Data!F403</f>
        <v>137376</v>
      </c>
      <c r="E403" s="2" t="str">
        <f>Raw_Data!H403</f>
        <v>YEARLY</v>
      </c>
      <c r="F403" s="2">
        <f>Raw_Data!I403</f>
        <v>65</v>
      </c>
      <c r="G403" s="13">
        <f>D403*INDEX(Multiplier_Lookup!$C$6:$C$9,MATCH(E403,Multiplier_Lookup!$B$6:$B$9,0))</f>
        <v>137376</v>
      </c>
      <c r="H403" s="2" t="str">
        <f t="shared" si="6"/>
        <v>Humana|Senior Data Scientist</v>
      </c>
    </row>
    <row r="404" spans="1:8" x14ac:dyDescent="0.35">
      <c r="A404" s="2" t="str">
        <f>Raw_Data!A404</f>
        <v>Humana</v>
      </c>
      <c r="B404" s="2" t="str">
        <f>Raw_Data!C404</f>
        <v>Mathematics</v>
      </c>
      <c r="C404" s="2" t="str">
        <f>Raw_Data!D404</f>
        <v>Business Intelligence Analyst</v>
      </c>
      <c r="D404" s="2">
        <f>Raw_Data!F404</f>
        <v>148568</v>
      </c>
      <c r="E404" s="2" t="str">
        <f>Raw_Data!H404</f>
        <v>YEARLY</v>
      </c>
      <c r="F404" s="2">
        <f>Raw_Data!I404</f>
        <v>26</v>
      </c>
      <c r="G404" s="13">
        <f>D404*INDEX(Multiplier_Lookup!$C$6:$C$9,MATCH(E404,Multiplier_Lookup!$B$6:$B$9,0))</f>
        <v>148568</v>
      </c>
      <c r="H404" s="2" t="str">
        <f t="shared" si="6"/>
        <v>Humana|Business Intelligence Analyst</v>
      </c>
    </row>
    <row r="405" spans="1:8" x14ac:dyDescent="0.35">
      <c r="A405" s="2" t="str">
        <f>Raw_Data!A405</f>
        <v>Humana</v>
      </c>
      <c r="B405" s="2" t="str">
        <f>Raw_Data!C405</f>
        <v>Mathematics</v>
      </c>
      <c r="C405" s="2" t="str">
        <f>Raw_Data!D405</f>
        <v>Data Scientist</v>
      </c>
      <c r="D405" s="2">
        <f>Raw_Data!F405</f>
        <v>111761</v>
      </c>
      <c r="E405" s="2" t="str">
        <f>Raw_Data!H405</f>
        <v>YEARLY</v>
      </c>
      <c r="F405" s="2">
        <f>Raw_Data!I405</f>
        <v>25</v>
      </c>
      <c r="G405" s="13">
        <f>D405*INDEX(Multiplier_Lookup!$C$6:$C$9,MATCH(E405,Multiplier_Lookup!$B$6:$B$9,0))</f>
        <v>111761</v>
      </c>
      <c r="H405" s="2" t="str">
        <f t="shared" si="6"/>
        <v>Humana|Data Scientist</v>
      </c>
    </row>
    <row r="406" spans="1:8" x14ac:dyDescent="0.35">
      <c r="A406" s="2" t="str">
        <f>Raw_Data!A406</f>
        <v>Humana</v>
      </c>
      <c r="B406" s="2" t="str">
        <f>Raw_Data!C406</f>
        <v>Mathematics</v>
      </c>
      <c r="C406" s="2" t="str">
        <f>Raw_Data!D406</f>
        <v>Analyst</v>
      </c>
      <c r="D406" s="2">
        <f>Raw_Data!F406</f>
        <v>69283</v>
      </c>
      <c r="E406" s="2" t="str">
        <f>Raw_Data!H406</f>
        <v>YEARLY</v>
      </c>
      <c r="F406" s="2">
        <f>Raw_Data!I406</f>
        <v>7</v>
      </c>
      <c r="G406" s="13">
        <f>D406*INDEX(Multiplier_Lookup!$C$6:$C$9,MATCH(E406,Multiplier_Lookup!$B$6:$B$9,0))</f>
        <v>69283</v>
      </c>
      <c r="H406" s="2" t="str">
        <f t="shared" si="6"/>
        <v>Humana|Analyst</v>
      </c>
    </row>
    <row r="407" spans="1:8" x14ac:dyDescent="0.35">
      <c r="A407" s="2" t="str">
        <f>Raw_Data!A407</f>
        <v>Humana</v>
      </c>
      <c r="B407" s="2" t="str">
        <f>Raw_Data!C407</f>
        <v>Mathematics</v>
      </c>
      <c r="C407" s="2" t="str">
        <f>Raw_Data!D407</f>
        <v>Lead Data Scientist</v>
      </c>
      <c r="D407" s="2">
        <f>Raw_Data!F407</f>
        <v>166930</v>
      </c>
      <c r="E407" s="2" t="str">
        <f>Raw_Data!H407</f>
        <v>YEARLY</v>
      </c>
      <c r="F407" s="2">
        <f>Raw_Data!I407</f>
        <v>11</v>
      </c>
      <c r="G407" s="13">
        <f>D407*INDEX(Multiplier_Lookup!$C$6:$C$9,MATCH(E407,Multiplier_Lookup!$B$6:$B$9,0))</f>
        <v>166930</v>
      </c>
      <c r="H407" s="2" t="str">
        <f t="shared" si="6"/>
        <v>Humana|Lead Data Scientist</v>
      </c>
    </row>
    <row r="408" spans="1:8" x14ac:dyDescent="0.35">
      <c r="A408" s="2" t="str">
        <f>Raw_Data!A408</f>
        <v>Humana</v>
      </c>
      <c r="B408" s="2" t="str">
        <f>Raw_Data!C408</f>
        <v>Mathematics</v>
      </c>
      <c r="C408" s="2" t="str">
        <f>Raw_Data!D408</f>
        <v>Management Analyst</v>
      </c>
      <c r="D408" s="2">
        <f>Raw_Data!F408</f>
        <v>56911</v>
      </c>
      <c r="E408" s="2" t="str">
        <f>Raw_Data!H408</f>
        <v>YEARLY</v>
      </c>
      <c r="F408" s="2">
        <f>Raw_Data!I408</f>
        <v>17</v>
      </c>
      <c r="G408" s="13">
        <f>D408*INDEX(Multiplier_Lookup!$C$6:$C$9,MATCH(E408,Multiplier_Lookup!$B$6:$B$9,0))</f>
        <v>56911</v>
      </c>
      <c r="H408" s="2" t="str">
        <f t="shared" si="6"/>
        <v>Humana|Management Analyst</v>
      </c>
    </row>
    <row r="409" spans="1:8" x14ac:dyDescent="0.35">
      <c r="A409" s="2" t="str">
        <f>Raw_Data!A409</f>
        <v>Humana</v>
      </c>
      <c r="B409" s="2" t="str">
        <f>Raw_Data!C409</f>
        <v>Mathematics</v>
      </c>
      <c r="C409" s="2" t="str">
        <f>Raw_Data!D409</f>
        <v>Anaplan Model Builder</v>
      </c>
      <c r="D409" s="2">
        <f>Raw_Data!F409</f>
        <v>94489</v>
      </c>
      <c r="E409" s="2" t="str">
        <f>Raw_Data!H409</f>
        <v>YEARLY</v>
      </c>
      <c r="F409" s="2">
        <f>Raw_Data!I409</f>
        <v>17</v>
      </c>
      <c r="G409" s="13">
        <f>D409*INDEX(Multiplier_Lookup!$C$6:$C$9,MATCH(E409,Multiplier_Lookup!$B$6:$B$9,0))</f>
        <v>94489</v>
      </c>
      <c r="H409" s="2" t="str">
        <f t="shared" si="6"/>
        <v>Humana|Anaplan Model Builder</v>
      </c>
    </row>
    <row r="410" spans="1:8" x14ac:dyDescent="0.35">
      <c r="A410" s="2" t="str">
        <f>Raw_Data!A410</f>
        <v>Humana</v>
      </c>
      <c r="B410" s="2" t="str">
        <f>Raw_Data!C410</f>
        <v>Mathematics</v>
      </c>
      <c r="C410" s="2" t="str">
        <f>Raw_Data!D410</f>
        <v>Senior Reporting Analyst</v>
      </c>
      <c r="D410" s="2">
        <f>Raw_Data!F410</f>
        <v>67595</v>
      </c>
      <c r="E410" s="2" t="str">
        <f>Raw_Data!H410</f>
        <v>YEARLY</v>
      </c>
      <c r="F410" s="2">
        <f>Raw_Data!I410</f>
        <v>5</v>
      </c>
      <c r="G410" s="13">
        <f>D410*INDEX(Multiplier_Lookup!$C$6:$C$9,MATCH(E410,Multiplier_Lookup!$B$6:$B$9,0))</f>
        <v>67595</v>
      </c>
      <c r="H410" s="2" t="str">
        <f t="shared" si="6"/>
        <v>Humana|Senior Reporting Analyst</v>
      </c>
    </row>
    <row r="411" spans="1:8" x14ac:dyDescent="0.35">
      <c r="A411" s="2" t="str">
        <f>Raw_Data!A411</f>
        <v>Humana</v>
      </c>
      <c r="B411" s="2" t="str">
        <f>Raw_Data!C411</f>
        <v>Mathematics</v>
      </c>
      <c r="C411" s="2" t="str">
        <f>Raw_Data!D411</f>
        <v>Senior Analytics Consultant</v>
      </c>
      <c r="D411" s="2">
        <f>Raw_Data!F411</f>
        <v>91961</v>
      </c>
      <c r="E411" s="2" t="str">
        <f>Raw_Data!H411</f>
        <v>YEARLY</v>
      </c>
      <c r="F411" s="2">
        <f>Raw_Data!I411</f>
        <v>12</v>
      </c>
      <c r="G411" s="13">
        <f>D411*INDEX(Multiplier_Lookup!$C$6:$C$9,MATCH(E411,Multiplier_Lookup!$B$6:$B$9,0))</f>
        <v>91961</v>
      </c>
      <c r="H411" s="2" t="str">
        <f t="shared" si="6"/>
        <v>Humana|Senior Analytics Consultant</v>
      </c>
    </row>
    <row r="412" spans="1:8" x14ac:dyDescent="0.35">
      <c r="A412" s="2" t="str">
        <f>Raw_Data!A412</f>
        <v>Kaiser Permanente</v>
      </c>
      <c r="B412" s="2" t="str">
        <f>Raw_Data!C412</f>
        <v>Medical Technician</v>
      </c>
      <c r="C412" s="2" t="str">
        <f>Raw_Data!D412</f>
        <v>Medical Assistant</v>
      </c>
      <c r="D412" s="2">
        <f>Raw_Data!F412</f>
        <v>30.47</v>
      </c>
      <c r="E412" s="2" t="str">
        <f>Raw_Data!H412</f>
        <v>HOURLY</v>
      </c>
      <c r="F412" s="2">
        <f>Raw_Data!I412</f>
        <v>21</v>
      </c>
      <c r="G412" s="13">
        <f>D412*INDEX(Multiplier_Lookup!$C$6:$C$9,MATCH(E412,Multiplier_Lookup!$B$6:$B$9,0))</f>
        <v>63377.599999999999</v>
      </c>
      <c r="H412" s="2" t="str">
        <f t="shared" si="6"/>
        <v>Kaiser Permanente|Medical Assistant</v>
      </c>
    </row>
    <row r="413" spans="1:8" x14ac:dyDescent="0.35">
      <c r="A413" s="2" t="str">
        <f>Raw_Data!A413</f>
        <v>Kaiser Permanente</v>
      </c>
      <c r="B413" s="2" t="str">
        <f>Raw_Data!C413</f>
        <v>Medical Technician</v>
      </c>
      <c r="C413" s="2" t="str">
        <f>Raw_Data!D413</f>
        <v>Radiologist</v>
      </c>
      <c r="D413" s="2">
        <f>Raw_Data!F413</f>
        <v>187</v>
      </c>
      <c r="E413" s="2" t="str">
        <f>Raw_Data!H413</f>
        <v>HOURLY</v>
      </c>
      <c r="F413" s="2">
        <f>Raw_Data!I413</f>
        <v>16</v>
      </c>
      <c r="G413" s="13">
        <f>D413*INDEX(Multiplier_Lookup!$C$6:$C$9,MATCH(E413,Multiplier_Lookup!$B$6:$B$9,0))</f>
        <v>388960</v>
      </c>
      <c r="H413" s="2" t="str">
        <f t="shared" si="6"/>
        <v>Kaiser Permanente|Radiologist</v>
      </c>
    </row>
    <row r="414" spans="1:8" x14ac:dyDescent="0.35">
      <c r="A414" s="2" t="str">
        <f>Raw_Data!A414</f>
        <v>Kaiser Permanente</v>
      </c>
      <c r="B414" s="2" t="str">
        <f>Raw_Data!C414</f>
        <v>Medical Technician</v>
      </c>
      <c r="C414" s="2" t="str">
        <f>Raw_Data!D414</f>
        <v>Radiologic Technologist</v>
      </c>
      <c r="D414" s="2">
        <f>Raw_Data!F414</f>
        <v>46.3</v>
      </c>
      <c r="E414" s="2" t="str">
        <f>Raw_Data!H414</f>
        <v>HOURLY</v>
      </c>
      <c r="F414" s="2">
        <f>Raw_Data!I414</f>
        <v>7</v>
      </c>
      <c r="G414" s="13">
        <f>D414*INDEX(Multiplier_Lookup!$C$6:$C$9,MATCH(E414,Multiplier_Lookup!$B$6:$B$9,0))</f>
        <v>96304</v>
      </c>
      <c r="H414" s="2" t="str">
        <f t="shared" si="6"/>
        <v>Kaiser Permanente|Radiologic Technologist</v>
      </c>
    </row>
    <row r="415" spans="1:8" x14ac:dyDescent="0.35">
      <c r="A415" s="2" t="str">
        <f>Raw_Data!A415</f>
        <v>Kaiser Permanente</v>
      </c>
      <c r="B415" s="2" t="str">
        <f>Raw_Data!C415</f>
        <v>Medical Technician</v>
      </c>
      <c r="C415" s="2" t="str">
        <f>Raw_Data!D415</f>
        <v>Sonographer</v>
      </c>
      <c r="D415" s="2">
        <f>Raw_Data!F415</f>
        <v>54.42</v>
      </c>
      <c r="E415" s="2" t="str">
        <f>Raw_Data!H415</f>
        <v>HOURLY</v>
      </c>
      <c r="F415" s="2">
        <f>Raw_Data!I415</f>
        <v>5</v>
      </c>
      <c r="G415" s="13">
        <f>D415*INDEX(Multiplier_Lookup!$C$6:$C$9,MATCH(E415,Multiplier_Lookup!$B$6:$B$9,0))</f>
        <v>113193.60000000001</v>
      </c>
      <c r="H415" s="2" t="str">
        <f t="shared" si="6"/>
        <v>Kaiser Permanente|Sonographer</v>
      </c>
    </row>
    <row r="416" spans="1:8" x14ac:dyDescent="0.35">
      <c r="A416" s="2" t="str">
        <f>Raw_Data!A416</f>
        <v>Kaiser Permanente</v>
      </c>
      <c r="B416" s="2" t="str">
        <f>Raw_Data!C416</f>
        <v>Medical Technician</v>
      </c>
      <c r="C416" s="2" t="str">
        <f>Raw_Data!D416</f>
        <v>CT Technologist</v>
      </c>
      <c r="D416" s="2">
        <f>Raw_Data!F416</f>
        <v>52.5</v>
      </c>
      <c r="E416" s="2" t="str">
        <f>Raw_Data!H416</f>
        <v>HOURLY</v>
      </c>
      <c r="F416" s="2">
        <f>Raw_Data!I416</f>
        <v>9</v>
      </c>
      <c r="G416" s="13">
        <f>D416*INDEX(Multiplier_Lookup!$C$6:$C$9,MATCH(E416,Multiplier_Lookup!$B$6:$B$9,0))</f>
        <v>109200</v>
      </c>
      <c r="H416" s="2" t="str">
        <f t="shared" si="6"/>
        <v>Kaiser Permanente|CT Technologist</v>
      </c>
    </row>
    <row r="417" spans="1:8" x14ac:dyDescent="0.35">
      <c r="A417" s="2" t="str">
        <f>Raw_Data!A417</f>
        <v>Kaiser Permanente</v>
      </c>
      <c r="B417" s="2" t="str">
        <f>Raw_Data!C417</f>
        <v>Medical Technician</v>
      </c>
      <c r="C417" s="2" t="str">
        <f>Raw_Data!D417</f>
        <v>Patient Care Technician</v>
      </c>
      <c r="D417" s="2">
        <f>Raw_Data!F417</f>
        <v>35.75</v>
      </c>
      <c r="E417" s="2" t="str">
        <f>Raw_Data!H417</f>
        <v>HOURLY</v>
      </c>
      <c r="F417" s="2">
        <f>Raw_Data!I417</f>
        <v>12</v>
      </c>
      <c r="G417" s="13">
        <f>D417*INDEX(Multiplier_Lookup!$C$6:$C$9,MATCH(E417,Multiplier_Lookup!$B$6:$B$9,0))</f>
        <v>74360</v>
      </c>
      <c r="H417" s="2" t="str">
        <f t="shared" si="6"/>
        <v>Kaiser Permanente|Patient Care Technician</v>
      </c>
    </row>
    <row r="418" spans="1:8" x14ac:dyDescent="0.35">
      <c r="A418" s="2" t="str">
        <f>Raw_Data!A418</f>
        <v>Kaiser Permanente</v>
      </c>
      <c r="B418" s="2" t="str">
        <f>Raw_Data!C418</f>
        <v>Medical Technician</v>
      </c>
      <c r="C418" s="2" t="str">
        <f>Raw_Data!D418</f>
        <v>Surgical Technologist</v>
      </c>
      <c r="D418" s="2">
        <f>Raw_Data!F418</f>
        <v>48.55</v>
      </c>
      <c r="E418" s="2" t="str">
        <f>Raw_Data!H418</f>
        <v>HOURLY</v>
      </c>
      <c r="F418" s="2">
        <f>Raw_Data!I418</f>
        <v>12</v>
      </c>
      <c r="G418" s="13">
        <f>D418*INDEX(Multiplier_Lookup!$C$6:$C$9,MATCH(E418,Multiplier_Lookup!$B$6:$B$9,0))</f>
        <v>100984</v>
      </c>
      <c r="H418" s="2" t="str">
        <f t="shared" si="6"/>
        <v>Kaiser Permanente|Surgical Technologist</v>
      </c>
    </row>
    <row r="419" spans="1:8" x14ac:dyDescent="0.35">
      <c r="A419" s="2" t="str">
        <f>Raw_Data!A419</f>
        <v>Kaiser Permanente</v>
      </c>
      <c r="B419" s="2" t="str">
        <f>Raw_Data!C419</f>
        <v>Medical Technician</v>
      </c>
      <c r="C419" s="2" t="str">
        <f>Raw_Data!D419</f>
        <v>Mammography Technologist</v>
      </c>
      <c r="D419" s="2">
        <f>Raw_Data!F419</f>
        <v>53.88</v>
      </c>
      <c r="E419" s="2" t="str">
        <f>Raw_Data!H419</f>
        <v>HOURLY</v>
      </c>
      <c r="F419" s="2">
        <f>Raw_Data!I419</f>
        <v>8</v>
      </c>
      <c r="G419" s="13">
        <f>D419*INDEX(Multiplier_Lookup!$C$6:$C$9,MATCH(E419,Multiplier_Lookup!$B$6:$B$9,0))</f>
        <v>112070.40000000001</v>
      </c>
      <c r="H419" s="2" t="str">
        <f t="shared" si="6"/>
        <v>Kaiser Permanente|Mammography Technologist</v>
      </c>
    </row>
    <row r="420" spans="1:8" x14ac:dyDescent="0.35">
      <c r="A420" s="2" t="str">
        <f>Raw_Data!A420</f>
        <v>Kaiser Permanente</v>
      </c>
      <c r="B420" s="2" t="str">
        <f>Raw_Data!C420</f>
        <v>Medical Technician</v>
      </c>
      <c r="C420" s="2" t="str">
        <f>Raw_Data!D420</f>
        <v>Sterile Processing Technician</v>
      </c>
      <c r="D420" s="2">
        <f>Raw_Data!F420</f>
        <v>30.7</v>
      </c>
      <c r="E420" s="2" t="str">
        <f>Raw_Data!H420</f>
        <v>HOURLY</v>
      </c>
      <c r="F420" s="2">
        <f>Raw_Data!I420</f>
        <v>10</v>
      </c>
      <c r="G420" s="13">
        <f>D420*INDEX(Multiplier_Lookup!$C$6:$C$9,MATCH(E420,Multiplier_Lookup!$B$6:$B$9,0))</f>
        <v>63856</v>
      </c>
      <c r="H420" s="2" t="str">
        <f t="shared" si="6"/>
        <v>Kaiser Permanente|Sterile Processing Technician</v>
      </c>
    </row>
    <row r="421" spans="1:8" x14ac:dyDescent="0.35">
      <c r="A421" s="2" t="str">
        <f>Raw_Data!A421</f>
        <v>Kaiser Permanente</v>
      </c>
      <c r="B421" s="2" t="str">
        <f>Raw_Data!C421</f>
        <v>Medical Technician</v>
      </c>
      <c r="C421" s="2" t="str">
        <f>Raw_Data!D421</f>
        <v>OB Technician</v>
      </c>
      <c r="D421" s="2">
        <f>Raw_Data!F421</f>
        <v>37.1</v>
      </c>
      <c r="E421" s="2" t="str">
        <f>Raw_Data!H421</f>
        <v>HOURLY</v>
      </c>
      <c r="F421" s="2">
        <f>Raw_Data!I421</f>
        <v>11</v>
      </c>
      <c r="G421" s="13">
        <f>D421*INDEX(Multiplier_Lookup!$C$6:$C$9,MATCH(E421,Multiplier_Lookup!$B$6:$B$9,0))</f>
        <v>77168</v>
      </c>
      <c r="H421" s="2" t="str">
        <f t="shared" si="6"/>
        <v>Kaiser Permanente|OB Technician</v>
      </c>
    </row>
    <row r="422" spans="1:8" x14ac:dyDescent="0.35">
      <c r="A422" s="2" t="str">
        <f>Raw_Data!A422</f>
        <v>Mayo Clinic</v>
      </c>
      <c r="B422" s="2" t="str">
        <f>Raw_Data!C422</f>
        <v>Community &amp; Social Service</v>
      </c>
      <c r="C422" s="2" t="str">
        <f>Raw_Data!D422</f>
        <v>Case Manager</v>
      </c>
      <c r="D422" s="2">
        <f>Raw_Data!F422</f>
        <v>123651</v>
      </c>
      <c r="E422" s="2" t="str">
        <f>Raw_Data!H422</f>
        <v>YEARLY</v>
      </c>
      <c r="F422" s="2">
        <f>Raw_Data!I422</f>
        <v>92</v>
      </c>
      <c r="G422" s="13">
        <f>D422*INDEX(Multiplier_Lookup!$C$6:$C$9,MATCH(E422,Multiplier_Lookup!$B$6:$B$9,0))</f>
        <v>123651</v>
      </c>
      <c r="H422" s="2" t="str">
        <f t="shared" si="6"/>
        <v>Mayo Clinic|Case Manager</v>
      </c>
    </row>
    <row r="423" spans="1:8" x14ac:dyDescent="0.35">
      <c r="A423" s="2" t="str">
        <f>Raw_Data!A423</f>
        <v>Mayo Clinic</v>
      </c>
      <c r="B423" s="2" t="str">
        <f>Raw_Data!C423</f>
        <v>Community &amp; Social Service</v>
      </c>
      <c r="C423" s="2" t="str">
        <f>Raw_Data!D423</f>
        <v>Social Worker</v>
      </c>
      <c r="D423" s="2">
        <f>Raw_Data!F423</f>
        <v>77504</v>
      </c>
      <c r="E423" s="2" t="str">
        <f>Raw_Data!H423</f>
        <v>YEARLY</v>
      </c>
      <c r="F423" s="2">
        <f>Raw_Data!I423</f>
        <v>39</v>
      </c>
      <c r="G423" s="13">
        <f>D423*INDEX(Multiplier_Lookup!$C$6:$C$9,MATCH(E423,Multiplier_Lookup!$B$6:$B$9,0))</f>
        <v>77504</v>
      </c>
      <c r="H423" s="2" t="str">
        <f t="shared" si="6"/>
        <v>Mayo Clinic|Social Worker</v>
      </c>
    </row>
    <row r="424" spans="1:8" x14ac:dyDescent="0.35">
      <c r="A424" s="2" t="str">
        <f>Raw_Data!A424</f>
        <v>Mayo Clinic</v>
      </c>
      <c r="B424" s="2" t="str">
        <f>Raw_Data!C424</f>
        <v>Community &amp; Social Service</v>
      </c>
      <c r="C424" s="2" t="str">
        <f>Raw_Data!D424</f>
        <v>Senior Program Coordinator</v>
      </c>
      <c r="D424" s="2">
        <f>Raw_Data!F424</f>
        <v>80271</v>
      </c>
      <c r="E424" s="2" t="str">
        <f>Raw_Data!H424</f>
        <v>YEARLY</v>
      </c>
      <c r="F424" s="2">
        <f>Raw_Data!I424</f>
        <v>11</v>
      </c>
      <c r="G424" s="13">
        <f>D424*INDEX(Multiplier_Lookup!$C$6:$C$9,MATCH(E424,Multiplier_Lookup!$B$6:$B$9,0))</f>
        <v>80271</v>
      </c>
      <c r="H424" s="2" t="str">
        <f t="shared" si="6"/>
        <v>Mayo Clinic|Senior Program Coordinator</v>
      </c>
    </row>
    <row r="425" spans="1:8" x14ac:dyDescent="0.35">
      <c r="A425" s="2" t="str">
        <f>Raw_Data!A425</f>
        <v>Mayo Clinic</v>
      </c>
      <c r="B425" s="2" t="str">
        <f>Raw_Data!C425</f>
        <v>Community &amp; Social Service</v>
      </c>
      <c r="C425" s="2" t="str">
        <f>Raw_Data!D425</f>
        <v>Education Coordinator</v>
      </c>
      <c r="D425" s="2">
        <f>Raw_Data!F425</f>
        <v>61299</v>
      </c>
      <c r="E425" s="2" t="str">
        <f>Raw_Data!H425</f>
        <v>YEARLY</v>
      </c>
      <c r="F425" s="2">
        <f>Raw_Data!I425</f>
        <v>5</v>
      </c>
      <c r="G425" s="13">
        <f>D425*INDEX(Multiplier_Lookup!$C$6:$C$9,MATCH(E425,Multiplier_Lookup!$B$6:$B$9,0))</f>
        <v>61299</v>
      </c>
      <c r="H425" s="2" t="str">
        <f t="shared" si="6"/>
        <v>Mayo Clinic|Education Coordinator</v>
      </c>
    </row>
    <row r="426" spans="1:8" x14ac:dyDescent="0.35">
      <c r="A426" s="2" t="str">
        <f>Raw_Data!A426</f>
        <v>Mayo Clinic</v>
      </c>
      <c r="B426" s="2" t="str">
        <f>Raw_Data!C426</f>
        <v>Community &amp; Social Service</v>
      </c>
      <c r="C426" s="2" t="str">
        <f>Raw_Data!D426</f>
        <v>Education Specialist</v>
      </c>
      <c r="D426" s="2">
        <f>Raw_Data!F426</f>
        <v>101653</v>
      </c>
      <c r="E426" s="2" t="str">
        <f>Raw_Data!H426</f>
        <v>YEARLY</v>
      </c>
      <c r="F426" s="2">
        <f>Raw_Data!I426</f>
        <v>9</v>
      </c>
      <c r="G426" s="13">
        <f>D426*INDEX(Multiplier_Lookup!$C$6:$C$9,MATCH(E426,Multiplier_Lookup!$B$6:$B$9,0))</f>
        <v>101653</v>
      </c>
      <c r="H426" s="2" t="str">
        <f t="shared" si="6"/>
        <v>Mayo Clinic|Education Specialist</v>
      </c>
    </row>
    <row r="427" spans="1:8" x14ac:dyDescent="0.35">
      <c r="A427" s="2" t="str">
        <f>Raw_Data!A427</f>
        <v>Mayo Clinic</v>
      </c>
      <c r="B427" s="2" t="str">
        <f>Raw_Data!C427</f>
        <v>Community &amp; Social Service</v>
      </c>
      <c r="C427" s="2" t="str">
        <f>Raw_Data!D427</f>
        <v>Chaplain</v>
      </c>
      <c r="D427" s="2">
        <f>Raw_Data!F427</f>
        <v>60896</v>
      </c>
      <c r="E427" s="2" t="str">
        <f>Raw_Data!H427</f>
        <v>YEARLY</v>
      </c>
      <c r="F427" s="2">
        <f>Raw_Data!I427</f>
        <v>6</v>
      </c>
      <c r="G427" s="13">
        <f>D427*INDEX(Multiplier_Lookup!$C$6:$C$9,MATCH(E427,Multiplier_Lookup!$B$6:$B$9,0))</f>
        <v>60896</v>
      </c>
      <c r="H427" s="2" t="str">
        <f t="shared" si="6"/>
        <v>Mayo Clinic|Chaplain</v>
      </c>
    </row>
    <row r="428" spans="1:8" x14ac:dyDescent="0.35">
      <c r="A428" s="2" t="str">
        <f>Raw_Data!A428</f>
        <v>Mayo Clinic</v>
      </c>
      <c r="B428" s="2" t="str">
        <f>Raw_Data!C428</f>
        <v>Community &amp; Social Service</v>
      </c>
      <c r="C428" s="2" t="str">
        <f>Raw_Data!D428</f>
        <v>Care Manager</v>
      </c>
      <c r="D428" s="2">
        <f>Raw_Data!F428</f>
        <v>176537</v>
      </c>
      <c r="E428" s="2" t="str">
        <f>Raw_Data!H428</f>
        <v>YEARLY</v>
      </c>
      <c r="F428" s="2">
        <f>Raw_Data!I428</f>
        <v>6</v>
      </c>
      <c r="G428" s="13">
        <f>D428*INDEX(Multiplier_Lookup!$C$6:$C$9,MATCH(E428,Multiplier_Lookup!$B$6:$B$9,0))</f>
        <v>176537</v>
      </c>
      <c r="H428" s="2" t="str">
        <f t="shared" si="6"/>
        <v>Mayo Clinic|Care Manager</v>
      </c>
    </row>
    <row r="429" spans="1:8" x14ac:dyDescent="0.35">
      <c r="A429" s="2" t="str">
        <f>Raw_Data!A429</f>
        <v>Mayo Clinic</v>
      </c>
      <c r="B429" s="2" t="str">
        <f>Raw_Data!C429</f>
        <v>Community &amp; Social Service</v>
      </c>
      <c r="C429" s="2" t="str">
        <f>Raw_Data!D429</f>
        <v>Licensed Professional Counselor</v>
      </c>
      <c r="D429" s="2">
        <f>Raw_Data!F429</f>
        <v>70235</v>
      </c>
      <c r="E429" s="2" t="str">
        <f>Raw_Data!H429</f>
        <v>YEARLY</v>
      </c>
      <c r="F429" s="2">
        <f>Raw_Data!I429</f>
        <v>1</v>
      </c>
      <c r="G429" s="13">
        <f>D429*INDEX(Multiplier_Lookup!$C$6:$C$9,MATCH(E429,Multiplier_Lookup!$B$6:$B$9,0))</f>
        <v>70235</v>
      </c>
      <c r="H429" s="2" t="str">
        <f t="shared" si="6"/>
        <v>Mayo Clinic|Licensed Professional Counselor</v>
      </c>
    </row>
    <row r="430" spans="1:8" x14ac:dyDescent="0.35">
      <c r="A430" s="2" t="str">
        <f>Raw_Data!A430</f>
        <v>Mayo Clinic</v>
      </c>
      <c r="B430" s="2" t="str">
        <f>Raw_Data!C430</f>
        <v>Community &amp; Social Service</v>
      </c>
      <c r="C430" s="2" t="str">
        <f>Raw_Data!D430</f>
        <v>Social Work Supervisor</v>
      </c>
      <c r="D430" s="2">
        <f>Raw_Data!F430</f>
        <v>87719</v>
      </c>
      <c r="E430" s="2" t="str">
        <f>Raw_Data!H430</f>
        <v>YEARLY</v>
      </c>
      <c r="F430" s="2">
        <f>Raw_Data!I430</f>
        <v>3</v>
      </c>
      <c r="G430" s="13">
        <f>D430*INDEX(Multiplier_Lookup!$C$6:$C$9,MATCH(E430,Multiplier_Lookup!$B$6:$B$9,0))</f>
        <v>87719</v>
      </c>
      <c r="H430" s="2" t="str">
        <f t="shared" si="6"/>
        <v>Mayo Clinic|Social Work Supervisor</v>
      </c>
    </row>
    <row r="431" spans="1:8" x14ac:dyDescent="0.35">
      <c r="A431" s="2" t="str">
        <f>Raw_Data!A431</f>
        <v>Mayo Clinic</v>
      </c>
      <c r="B431" s="2" t="str">
        <f>Raw_Data!C431</f>
        <v>Community &amp; Social Service</v>
      </c>
      <c r="C431" s="2" t="str">
        <f>Raw_Data!D431</f>
        <v>Program Coordinator</v>
      </c>
      <c r="D431" s="2">
        <f>Raw_Data!F431</f>
        <v>59006</v>
      </c>
      <c r="E431" s="2" t="str">
        <f>Raw_Data!H431</f>
        <v>YEARLY</v>
      </c>
      <c r="F431" s="2">
        <f>Raw_Data!I431</f>
        <v>3</v>
      </c>
      <c r="G431" s="13">
        <f>D431*INDEX(Multiplier_Lookup!$C$6:$C$9,MATCH(E431,Multiplier_Lookup!$B$6:$B$9,0))</f>
        <v>59006</v>
      </c>
      <c r="H431" s="2" t="str">
        <f t="shared" si="6"/>
        <v>Mayo Clinic|Program Coordinator</v>
      </c>
    </row>
    <row r="432" spans="1:8" x14ac:dyDescent="0.35">
      <c r="A432" s="2" t="str">
        <f>Raw_Data!A432</f>
        <v>Cleveland Clinic</v>
      </c>
      <c r="B432" s="2" t="str">
        <f>Raw_Data!C432</f>
        <v>Scientific Research &amp; Development</v>
      </c>
      <c r="C432" s="2" t="str">
        <f>Raw_Data!D432</f>
        <v>Postdoctoral Fellow</v>
      </c>
      <c r="D432" s="2">
        <f>Raw_Data!F432</f>
        <v>61430</v>
      </c>
      <c r="E432" s="2" t="str">
        <f>Raw_Data!H432</f>
        <v>YEARLY</v>
      </c>
      <c r="F432" s="2">
        <f>Raw_Data!I432</f>
        <v>13</v>
      </c>
      <c r="G432" s="13">
        <f>D432*INDEX(Multiplier_Lookup!$C$6:$C$9,MATCH(E432,Multiplier_Lookup!$B$6:$B$9,0))</f>
        <v>61430</v>
      </c>
      <c r="H432" s="2" t="str">
        <f t="shared" si="6"/>
        <v>Cleveland Clinic|Postdoctoral Fellow</v>
      </c>
    </row>
    <row r="433" spans="1:8" x14ac:dyDescent="0.35">
      <c r="A433" s="2" t="str">
        <f>Raw_Data!A433</f>
        <v>Cleveland Clinic</v>
      </c>
      <c r="B433" s="2" t="str">
        <f>Raw_Data!C433</f>
        <v>Scientific Research &amp; Development</v>
      </c>
      <c r="C433" s="2" t="str">
        <f>Raw_Data!D433</f>
        <v>Research Coordinator</v>
      </c>
      <c r="D433" s="2">
        <f>Raw_Data!F433</f>
        <v>58949</v>
      </c>
      <c r="E433" s="2" t="str">
        <f>Raw_Data!H433</f>
        <v>YEARLY</v>
      </c>
      <c r="F433" s="2">
        <f>Raw_Data!I433</f>
        <v>12</v>
      </c>
      <c r="G433" s="13">
        <f>D433*INDEX(Multiplier_Lookup!$C$6:$C$9,MATCH(E433,Multiplier_Lookup!$B$6:$B$9,0))</f>
        <v>58949</v>
      </c>
      <c r="H433" s="2" t="str">
        <f t="shared" si="6"/>
        <v>Cleveland Clinic|Research Coordinator</v>
      </c>
    </row>
    <row r="434" spans="1:8" x14ac:dyDescent="0.35">
      <c r="A434" s="2" t="str">
        <f>Raw_Data!A434</f>
        <v>Cleveland Clinic</v>
      </c>
      <c r="B434" s="2" t="str">
        <f>Raw_Data!C434</f>
        <v>Scientific Research &amp; Development</v>
      </c>
      <c r="C434" s="2" t="str">
        <f>Raw_Data!D434</f>
        <v>Research Associate</v>
      </c>
      <c r="D434" s="2">
        <f>Raw_Data!F434</f>
        <v>78355</v>
      </c>
      <c r="E434" s="2" t="str">
        <f>Raw_Data!H434</f>
        <v>YEARLY</v>
      </c>
      <c r="F434" s="2">
        <f>Raw_Data!I434</f>
        <v>9</v>
      </c>
      <c r="G434" s="13">
        <f>D434*INDEX(Multiplier_Lookup!$C$6:$C$9,MATCH(E434,Multiplier_Lookup!$B$6:$B$9,0))</f>
        <v>78355</v>
      </c>
      <c r="H434" s="2" t="str">
        <f t="shared" si="6"/>
        <v>Cleveland Clinic|Research Associate</v>
      </c>
    </row>
    <row r="435" spans="1:8" x14ac:dyDescent="0.35">
      <c r="A435" s="2" t="str">
        <f>Raw_Data!A435</f>
        <v>Cleveland Clinic</v>
      </c>
      <c r="B435" s="2" t="str">
        <f>Raw_Data!C435</f>
        <v>Scientific Research &amp; Development</v>
      </c>
      <c r="C435" s="2" t="str">
        <f>Raw_Data!D435</f>
        <v>Clinical Research Coordinator</v>
      </c>
      <c r="D435" s="2">
        <f>Raw_Data!F435</f>
        <v>45892</v>
      </c>
      <c r="E435" s="2" t="str">
        <f>Raw_Data!H435</f>
        <v>YEARLY</v>
      </c>
      <c r="F435" s="2">
        <f>Raw_Data!I435</f>
        <v>4</v>
      </c>
      <c r="G435" s="13">
        <f>D435*INDEX(Multiplier_Lookup!$C$6:$C$9,MATCH(E435,Multiplier_Lookup!$B$6:$B$9,0))</f>
        <v>45892</v>
      </c>
      <c r="H435" s="2" t="str">
        <f t="shared" si="6"/>
        <v>Cleveland Clinic|Clinical Research Coordinator</v>
      </c>
    </row>
    <row r="436" spans="1:8" x14ac:dyDescent="0.35">
      <c r="A436" s="2" t="str">
        <f>Raw_Data!A436</f>
        <v>Cleveland Clinic</v>
      </c>
      <c r="B436" s="2" t="str">
        <f>Raw_Data!C436</f>
        <v>Scientific Research &amp; Development</v>
      </c>
      <c r="C436" s="2" t="str">
        <f>Raw_Data!D436</f>
        <v>Senior Clinical Research Coordinator</v>
      </c>
      <c r="D436" s="2">
        <f>Raw_Data!F436</f>
        <v>60810</v>
      </c>
      <c r="E436" s="2" t="str">
        <f>Raw_Data!H436</f>
        <v>YEARLY</v>
      </c>
      <c r="F436" s="2">
        <f>Raw_Data!I436</f>
        <v>15</v>
      </c>
      <c r="G436" s="13">
        <f>D436*INDEX(Multiplier_Lookup!$C$6:$C$9,MATCH(E436,Multiplier_Lookup!$B$6:$B$9,0))</f>
        <v>60810</v>
      </c>
      <c r="H436" s="2" t="str">
        <f t="shared" si="6"/>
        <v>Cleveland Clinic|Senior Clinical Research Coordinator</v>
      </c>
    </row>
    <row r="437" spans="1:8" x14ac:dyDescent="0.35">
      <c r="A437" s="2" t="str">
        <f>Raw_Data!A437</f>
        <v>Cleveland Clinic</v>
      </c>
      <c r="B437" s="2" t="str">
        <f>Raw_Data!C437</f>
        <v>Scientific Research &amp; Development</v>
      </c>
      <c r="C437" s="2" t="str">
        <f>Raw_Data!D437</f>
        <v>Research Assistant</v>
      </c>
      <c r="D437" s="2">
        <f>Raw_Data!F437</f>
        <v>37374</v>
      </c>
      <c r="E437" s="2" t="str">
        <f>Raw_Data!H437</f>
        <v>YEARLY</v>
      </c>
      <c r="F437" s="2">
        <f>Raw_Data!I437</f>
        <v>6</v>
      </c>
      <c r="G437" s="13">
        <f>D437*INDEX(Multiplier_Lookup!$C$6:$C$9,MATCH(E437,Multiplier_Lookup!$B$6:$B$9,0))</f>
        <v>37374</v>
      </c>
      <c r="H437" s="2" t="str">
        <f t="shared" si="6"/>
        <v>Cleveland Clinic|Research Assistant</v>
      </c>
    </row>
    <row r="438" spans="1:8" x14ac:dyDescent="0.35">
      <c r="A438" s="2" t="str">
        <f>Raw_Data!A438</f>
        <v>Cleveland Clinic</v>
      </c>
      <c r="B438" s="2" t="str">
        <f>Raw_Data!C438</f>
        <v>Scientific Research &amp; Development</v>
      </c>
      <c r="C438" s="2" t="str">
        <f>Raw_Data!D438</f>
        <v>Research Technician</v>
      </c>
      <c r="D438" s="2">
        <f>Raw_Data!F438</f>
        <v>39421</v>
      </c>
      <c r="E438" s="2" t="str">
        <f>Raw_Data!H438</f>
        <v>YEARLY</v>
      </c>
      <c r="F438" s="2">
        <f>Raw_Data!I438</f>
        <v>3</v>
      </c>
      <c r="G438" s="13">
        <f>D438*INDEX(Multiplier_Lookup!$C$6:$C$9,MATCH(E438,Multiplier_Lookup!$B$6:$B$9,0))</f>
        <v>39421</v>
      </c>
      <c r="H438" s="2" t="str">
        <f t="shared" si="6"/>
        <v>Cleveland Clinic|Research Technician</v>
      </c>
    </row>
    <row r="439" spans="1:8" x14ac:dyDescent="0.35">
      <c r="A439" s="2" t="str">
        <f>Raw_Data!A439</f>
        <v>Cleveland Clinic</v>
      </c>
      <c r="B439" s="2" t="str">
        <f>Raw_Data!C439</f>
        <v>Scientific Research &amp; Development</v>
      </c>
      <c r="C439" s="2" t="str">
        <f>Raw_Data!D439</f>
        <v>Senior Research Technician</v>
      </c>
      <c r="D439" s="2">
        <f>Raw_Data!F439</f>
        <v>18.84</v>
      </c>
      <c r="E439" s="2" t="str">
        <f>Raw_Data!H439</f>
        <v>HOURLY</v>
      </c>
      <c r="F439" s="2">
        <f>Raw_Data!I439</f>
        <v>8</v>
      </c>
      <c r="G439" s="13">
        <f>D439*INDEX(Multiplier_Lookup!$C$6:$C$9,MATCH(E439,Multiplier_Lookup!$B$6:$B$9,0))</f>
        <v>39187.199999999997</v>
      </c>
      <c r="H439" s="2" t="str">
        <f t="shared" si="6"/>
        <v>Cleveland Clinic|Senior Research Technician</v>
      </c>
    </row>
    <row r="440" spans="1:8" x14ac:dyDescent="0.35">
      <c r="A440" s="2" t="str">
        <f>Raw_Data!A440</f>
        <v>Cleveland Clinic</v>
      </c>
      <c r="B440" s="2" t="str">
        <f>Raw_Data!C440</f>
        <v>Scientific Research &amp; Development</v>
      </c>
      <c r="C440" s="2" t="str">
        <f>Raw_Data!D440</f>
        <v>Researcher</v>
      </c>
      <c r="D440" s="2">
        <f>Raw_Data!F440</f>
        <v>84109</v>
      </c>
      <c r="E440" s="2" t="str">
        <f>Raw_Data!H440</f>
        <v>YEARLY</v>
      </c>
      <c r="F440" s="2">
        <f>Raw_Data!I440</f>
        <v>7</v>
      </c>
      <c r="G440" s="13">
        <f>D440*INDEX(Multiplier_Lookup!$C$6:$C$9,MATCH(E440,Multiplier_Lookup!$B$6:$B$9,0))</f>
        <v>84109</v>
      </c>
      <c r="H440" s="2" t="str">
        <f t="shared" si="6"/>
        <v>Cleveland Clinic|Researcher</v>
      </c>
    </row>
    <row r="441" spans="1:8" x14ac:dyDescent="0.35">
      <c r="A441" s="2" t="str">
        <f>Raw_Data!A441</f>
        <v>Cleveland Clinic</v>
      </c>
      <c r="B441" s="2" t="str">
        <f>Raw_Data!C441</f>
        <v>Scientific Research &amp; Development</v>
      </c>
      <c r="C441" s="2" t="str">
        <f>Raw_Data!D441</f>
        <v>Scientist</v>
      </c>
      <c r="D441" s="2">
        <f>Raw_Data!F441</f>
        <v>57862</v>
      </c>
      <c r="E441" s="2" t="str">
        <f>Raw_Data!H441</f>
        <v>YEARLY</v>
      </c>
      <c r="F441" s="2">
        <f>Raw_Data!I441</f>
        <v>6</v>
      </c>
      <c r="G441" s="13">
        <f>D441*INDEX(Multiplier_Lookup!$C$6:$C$9,MATCH(E441,Multiplier_Lookup!$B$6:$B$9,0))</f>
        <v>57862</v>
      </c>
      <c r="H441" s="2" t="str">
        <f t="shared" si="6"/>
        <v>Cleveland Clinic|Scientist</v>
      </c>
    </row>
    <row r="442" spans="1:8" x14ac:dyDescent="0.35">
      <c r="A442" s="2" t="str">
        <f>Raw_Data!A442</f>
        <v>Chipotle Mexican Grill</v>
      </c>
      <c r="B442" s="2" t="str">
        <f>Raw_Data!C442</f>
        <v>Retail</v>
      </c>
      <c r="C442" s="2" t="str">
        <f>Raw_Data!D442</f>
        <v>Cashier</v>
      </c>
      <c r="D442" s="2">
        <f>Raw_Data!F442</f>
        <v>14.67</v>
      </c>
      <c r="E442" s="2" t="str">
        <f>Raw_Data!H442</f>
        <v>HOURLY</v>
      </c>
      <c r="F442" s="2">
        <f>Raw_Data!I442</f>
        <v>57</v>
      </c>
      <c r="G442" s="13">
        <f>D442*INDEX(Multiplier_Lookup!$C$6:$C$9,MATCH(E442,Multiplier_Lookup!$B$6:$B$9,0))</f>
        <v>30513.599999999999</v>
      </c>
      <c r="H442" s="2" t="str">
        <f t="shared" si="6"/>
        <v>Chipotle Mexican Grill|Cashier</v>
      </c>
    </row>
    <row r="443" spans="1:8" x14ac:dyDescent="0.35">
      <c r="A443" s="2" t="str">
        <f>Raw_Data!A443</f>
        <v>Chipotle Mexican Grill</v>
      </c>
      <c r="B443" s="2" t="str">
        <f>Raw_Data!C443</f>
        <v>Retail</v>
      </c>
      <c r="C443" s="2" t="str">
        <f>Raw_Data!D443</f>
        <v>Customer Service Associate / Cashier</v>
      </c>
      <c r="D443" s="2">
        <f>Raw_Data!F443</f>
        <v>15.24</v>
      </c>
      <c r="E443" s="2" t="str">
        <f>Raw_Data!H443</f>
        <v>HOURLY</v>
      </c>
      <c r="F443" s="2">
        <f>Raw_Data!I443</f>
        <v>23</v>
      </c>
      <c r="G443" s="13">
        <f>D443*INDEX(Multiplier_Lookup!$C$6:$C$9,MATCH(E443,Multiplier_Lookup!$B$6:$B$9,0))</f>
        <v>31699.200000000001</v>
      </c>
      <c r="H443" s="2" t="str">
        <f t="shared" si="6"/>
        <v>Chipotle Mexican Grill|Customer Service Associate / Cashier</v>
      </c>
    </row>
    <row r="444" spans="1:8" x14ac:dyDescent="0.35">
      <c r="A444" s="2" t="str">
        <f>Raw_Data!A444</f>
        <v>Chipotle Mexican Grill</v>
      </c>
      <c r="B444" s="2" t="str">
        <f>Raw_Data!C444</f>
        <v>Retail</v>
      </c>
      <c r="C444" s="2" t="str">
        <f>Raw_Data!D444</f>
        <v>Service Crew</v>
      </c>
      <c r="D444" s="2">
        <f>Raw_Data!F444</f>
        <v>15.93</v>
      </c>
      <c r="E444" s="2" t="str">
        <f>Raw_Data!H444</f>
        <v>HOURLY</v>
      </c>
      <c r="F444" s="2">
        <f>Raw_Data!I444</f>
        <v>31</v>
      </c>
      <c r="G444" s="13">
        <f>D444*INDEX(Multiplier_Lookup!$C$6:$C$9,MATCH(E444,Multiplier_Lookup!$B$6:$B$9,0))</f>
        <v>33134.400000000001</v>
      </c>
      <c r="H444" s="2" t="str">
        <f t="shared" si="6"/>
        <v>Chipotle Mexican Grill|Service Crew</v>
      </c>
    </row>
    <row r="445" spans="1:8" x14ac:dyDescent="0.35">
      <c r="A445" s="2" t="str">
        <f>Raw_Data!A445</f>
        <v>Chipotle Mexican Grill</v>
      </c>
      <c r="B445" s="2" t="str">
        <f>Raw_Data!C445</f>
        <v>Retail</v>
      </c>
      <c r="C445" s="2" t="str">
        <f>Raw_Data!D445</f>
        <v>Opener</v>
      </c>
      <c r="D445" s="2">
        <f>Raw_Data!F445</f>
        <v>13.4</v>
      </c>
      <c r="E445" s="2" t="str">
        <f>Raw_Data!H445</f>
        <v>HOURLY</v>
      </c>
      <c r="F445" s="2">
        <f>Raw_Data!I445</f>
        <v>15</v>
      </c>
      <c r="G445" s="13">
        <f>D445*INDEX(Multiplier_Lookup!$C$6:$C$9,MATCH(E445,Multiplier_Lookup!$B$6:$B$9,0))</f>
        <v>27872</v>
      </c>
      <c r="H445" s="2" t="str">
        <f t="shared" si="6"/>
        <v>Chipotle Mexican Grill|Opener</v>
      </c>
    </row>
    <row r="446" spans="1:8" x14ac:dyDescent="0.35">
      <c r="A446" s="2" t="str">
        <f>Raw_Data!A446</f>
        <v>Chipotle Mexican Grill</v>
      </c>
      <c r="B446" s="2" t="str">
        <f>Raw_Data!C446</f>
        <v>Retail</v>
      </c>
      <c r="C446" s="2" t="str">
        <f>Raw_Data!D446</f>
        <v>Store Manager</v>
      </c>
      <c r="D446" s="2">
        <f>Raw_Data!F446</f>
        <v>17.649999999999999</v>
      </c>
      <c r="E446" s="2" t="str">
        <f>Raw_Data!H446</f>
        <v>HOURLY</v>
      </c>
      <c r="F446" s="2">
        <f>Raw_Data!I446</f>
        <v>6</v>
      </c>
      <c r="G446" s="13">
        <f>D446*INDEX(Multiplier_Lookup!$C$6:$C$9,MATCH(E446,Multiplier_Lookup!$B$6:$B$9,0))</f>
        <v>36712</v>
      </c>
      <c r="H446" s="2" t="str">
        <f t="shared" si="6"/>
        <v>Chipotle Mexican Grill|Store Manager</v>
      </c>
    </row>
    <row r="447" spans="1:8" x14ac:dyDescent="0.35">
      <c r="A447" s="2" t="str">
        <f>Raw_Data!A447</f>
        <v>Chipotle Mexican Grill</v>
      </c>
      <c r="B447" s="2" t="str">
        <f>Raw_Data!C447</f>
        <v>Retail</v>
      </c>
      <c r="C447" s="2" t="str">
        <f>Raw_Data!D447</f>
        <v>Overnight Closer</v>
      </c>
      <c r="D447" s="2">
        <f>Raw_Data!F447</f>
        <v>15.61</v>
      </c>
      <c r="E447" s="2" t="str">
        <f>Raw_Data!H447</f>
        <v>HOURLY</v>
      </c>
      <c r="F447" s="2">
        <f>Raw_Data!I447</f>
        <v>6</v>
      </c>
      <c r="G447" s="13">
        <f>D447*INDEX(Multiplier_Lookup!$C$6:$C$9,MATCH(E447,Multiplier_Lookup!$B$6:$B$9,0))</f>
        <v>32468.799999999999</v>
      </c>
      <c r="H447" s="2" t="str">
        <f t="shared" si="6"/>
        <v>Chipotle Mexican Grill|Overnight Closer</v>
      </c>
    </row>
    <row r="448" spans="1:8" x14ac:dyDescent="0.35">
      <c r="A448" s="2" t="str">
        <f>Raw_Data!A448</f>
        <v>Chipotle Mexican Grill</v>
      </c>
      <c r="B448" s="2" t="str">
        <f>Raw_Data!C448</f>
        <v>Retail</v>
      </c>
      <c r="C448" s="2" t="str">
        <f>Raw_Data!D448</f>
        <v>Front End Associate</v>
      </c>
      <c r="D448" s="2">
        <f>Raw_Data!F448</f>
        <v>15.16</v>
      </c>
      <c r="E448" s="2" t="str">
        <f>Raw_Data!H448</f>
        <v>HOURLY</v>
      </c>
      <c r="F448" s="2">
        <f>Raw_Data!I448</f>
        <v>7</v>
      </c>
      <c r="G448" s="13">
        <f>D448*INDEX(Multiplier_Lookup!$C$6:$C$9,MATCH(E448,Multiplier_Lookup!$B$6:$B$9,0))</f>
        <v>31532.799999999999</v>
      </c>
      <c r="H448" s="2" t="str">
        <f t="shared" si="6"/>
        <v>Chipotle Mexican Grill|Front End Associate</v>
      </c>
    </row>
    <row r="449" spans="1:8" x14ac:dyDescent="0.35">
      <c r="A449" s="2" t="str">
        <f>Raw_Data!A449</f>
        <v>Chipotle Mexican Grill</v>
      </c>
      <c r="B449" s="2" t="str">
        <f>Raw_Data!C449</f>
        <v>Retail</v>
      </c>
      <c r="C449" s="2" t="str">
        <f>Raw_Data!D449</f>
        <v>Retail Assistant Manager</v>
      </c>
      <c r="D449" s="2">
        <f>Raw_Data!F449</f>
        <v>17.28</v>
      </c>
      <c r="E449" s="2" t="str">
        <f>Raw_Data!H449</f>
        <v>HOURLY</v>
      </c>
      <c r="F449" s="2">
        <f>Raw_Data!I449</f>
        <v>4</v>
      </c>
      <c r="G449" s="13">
        <f>D449*INDEX(Multiplier_Lookup!$C$6:$C$9,MATCH(E449,Multiplier_Lookup!$B$6:$B$9,0))</f>
        <v>35942.400000000001</v>
      </c>
      <c r="H449" s="2" t="str">
        <f t="shared" si="6"/>
        <v>Chipotle Mexican Grill|Retail Assistant Manager</v>
      </c>
    </row>
    <row r="450" spans="1:8" x14ac:dyDescent="0.35">
      <c r="A450" s="2" t="str">
        <f>Raw_Data!A450</f>
        <v>Chipotle Mexican Grill</v>
      </c>
      <c r="B450" s="2" t="str">
        <f>Raw_Data!C450</f>
        <v>Retail</v>
      </c>
      <c r="C450" s="2" t="str">
        <f>Raw_Data!D450</f>
        <v>Retail Sales Associate</v>
      </c>
      <c r="D450" s="2">
        <f>Raw_Data!F450</f>
        <v>13.01</v>
      </c>
      <c r="E450" s="2" t="str">
        <f>Raw_Data!H450</f>
        <v>HOURLY</v>
      </c>
      <c r="F450" s="2">
        <f>Raw_Data!I450</f>
        <v>3</v>
      </c>
      <c r="G450" s="13">
        <f>D450*INDEX(Multiplier_Lookup!$C$6:$C$9,MATCH(E450,Multiplier_Lookup!$B$6:$B$9,0))</f>
        <v>27060.799999999999</v>
      </c>
      <c r="H450" s="2" t="str">
        <f t="shared" ref="H450:H513" si="7">A450&amp;"|"&amp;C450</f>
        <v>Chipotle Mexican Grill|Retail Sales Associate</v>
      </c>
    </row>
    <row r="451" spans="1:8" x14ac:dyDescent="0.35">
      <c r="A451" s="2" t="str">
        <f>Raw_Data!A451</f>
        <v>Chipotle Mexican Grill</v>
      </c>
      <c r="B451" s="2" t="str">
        <f>Raw_Data!C451</f>
        <v>Human Resources</v>
      </c>
      <c r="C451" s="2" t="str">
        <f>Raw_Data!D451</f>
        <v>Human Resources Manager</v>
      </c>
      <c r="D451" s="2">
        <f>Raw_Data!F451</f>
        <v>17.920000000000002</v>
      </c>
      <c r="E451" s="2" t="str">
        <f>Raw_Data!H451</f>
        <v>HOURLY</v>
      </c>
      <c r="F451" s="2">
        <f>Raw_Data!I451</f>
        <v>6</v>
      </c>
      <c r="G451" s="13">
        <f>D451*INDEX(Multiplier_Lookup!$C$6:$C$9,MATCH(E451,Multiplier_Lookup!$B$6:$B$9,0))</f>
        <v>37273.600000000006</v>
      </c>
      <c r="H451" s="2" t="str">
        <f t="shared" si="7"/>
        <v>Chipotle Mexican Grill|Human Resources Manager</v>
      </c>
    </row>
    <row r="452" spans="1:8" x14ac:dyDescent="0.35">
      <c r="A452" s="2" t="str">
        <f>Raw_Data!A452</f>
        <v>Subway</v>
      </c>
      <c r="B452" s="2" t="str">
        <f>Raw_Data!C452</f>
        <v>Retail</v>
      </c>
      <c r="C452" s="2" t="str">
        <f>Raw_Data!D452</f>
        <v>Store Manager</v>
      </c>
      <c r="D452" s="2">
        <f>Raw_Data!F452</f>
        <v>17.149999999999999</v>
      </c>
      <c r="E452" s="2" t="str">
        <f>Raw_Data!H452</f>
        <v>HOURLY</v>
      </c>
      <c r="F452" s="2">
        <f>Raw_Data!I452</f>
        <v>76</v>
      </c>
      <c r="G452" s="13">
        <f>D452*INDEX(Multiplier_Lookup!$C$6:$C$9,MATCH(E452,Multiplier_Lookup!$B$6:$B$9,0))</f>
        <v>35672</v>
      </c>
      <c r="H452" s="2" t="str">
        <f t="shared" si="7"/>
        <v>Subway|Store Manager</v>
      </c>
    </row>
    <row r="453" spans="1:8" x14ac:dyDescent="0.35">
      <c r="A453" s="2" t="str">
        <f>Raw_Data!A453</f>
        <v>Subway</v>
      </c>
      <c r="B453" s="2" t="str">
        <f>Raw_Data!C453</f>
        <v>Retail</v>
      </c>
      <c r="C453" s="2" t="str">
        <f>Raw_Data!D453</f>
        <v>Assistant Store Manager</v>
      </c>
      <c r="D453" s="2">
        <f>Raw_Data!F453</f>
        <v>19.86</v>
      </c>
      <c r="E453" s="2" t="str">
        <f>Raw_Data!H453</f>
        <v>HOURLY</v>
      </c>
      <c r="F453" s="2">
        <f>Raw_Data!I453</f>
        <v>15</v>
      </c>
      <c r="G453" s="13">
        <f>D453*INDEX(Multiplier_Lookup!$C$6:$C$9,MATCH(E453,Multiplier_Lookup!$B$6:$B$9,0))</f>
        <v>41308.799999999996</v>
      </c>
      <c r="H453" s="2" t="str">
        <f t="shared" si="7"/>
        <v>Subway|Assistant Store Manager</v>
      </c>
    </row>
    <row r="454" spans="1:8" x14ac:dyDescent="0.35">
      <c r="A454" s="2" t="str">
        <f>Raw_Data!A454</f>
        <v>Subway</v>
      </c>
      <c r="B454" s="2" t="str">
        <f>Raw_Data!C454</f>
        <v>Retail</v>
      </c>
      <c r="C454" s="2" t="str">
        <f>Raw_Data!D454</f>
        <v>Customer Service Associate / Cashier</v>
      </c>
      <c r="D454" s="2">
        <f>Raw_Data!F454</f>
        <v>11.18</v>
      </c>
      <c r="E454" s="2" t="str">
        <f>Raw_Data!H454</f>
        <v>HOURLY</v>
      </c>
      <c r="F454" s="2">
        <f>Raw_Data!I454</f>
        <v>13</v>
      </c>
      <c r="G454" s="13">
        <f>D454*INDEX(Multiplier_Lookup!$C$6:$C$9,MATCH(E454,Multiplier_Lookup!$B$6:$B$9,0))</f>
        <v>23254.399999999998</v>
      </c>
      <c r="H454" s="2" t="str">
        <f t="shared" si="7"/>
        <v>Subway|Customer Service Associate / Cashier</v>
      </c>
    </row>
    <row r="455" spans="1:8" x14ac:dyDescent="0.35">
      <c r="A455" s="2" t="str">
        <f>Raw_Data!A455</f>
        <v>Subway</v>
      </c>
      <c r="B455" s="2" t="str">
        <f>Raw_Data!C455</f>
        <v>Retail</v>
      </c>
      <c r="C455" s="2" t="str">
        <f>Raw_Data!D455</f>
        <v>Cashier</v>
      </c>
      <c r="D455" s="2">
        <f>Raw_Data!F455</f>
        <v>18.11</v>
      </c>
      <c r="E455" s="2" t="str">
        <f>Raw_Data!H455</f>
        <v>HOURLY</v>
      </c>
      <c r="F455" s="2">
        <f>Raw_Data!I455</f>
        <v>7</v>
      </c>
      <c r="G455" s="13">
        <f>D455*INDEX(Multiplier_Lookup!$C$6:$C$9,MATCH(E455,Multiplier_Lookup!$B$6:$B$9,0))</f>
        <v>37668.799999999996</v>
      </c>
      <c r="H455" s="2" t="str">
        <f t="shared" si="7"/>
        <v>Subway|Cashier</v>
      </c>
    </row>
    <row r="456" spans="1:8" x14ac:dyDescent="0.35">
      <c r="A456" s="2" t="str">
        <f>Raw_Data!A456</f>
        <v>Subway</v>
      </c>
      <c r="B456" s="2" t="str">
        <f>Raw_Data!C456</f>
        <v>Retail</v>
      </c>
      <c r="C456" s="2" t="str">
        <f>Raw_Data!D456</f>
        <v>Opener</v>
      </c>
      <c r="D456" s="2">
        <f>Raw_Data!F456</f>
        <v>14.3</v>
      </c>
      <c r="E456" s="2" t="str">
        <f>Raw_Data!H456</f>
        <v>HOURLY</v>
      </c>
      <c r="F456" s="2">
        <f>Raw_Data!I456</f>
        <v>6</v>
      </c>
      <c r="G456" s="13">
        <f>D456*INDEX(Multiplier_Lookup!$C$6:$C$9,MATCH(E456,Multiplier_Lookup!$B$6:$B$9,0))</f>
        <v>29744</v>
      </c>
      <c r="H456" s="2" t="str">
        <f t="shared" si="7"/>
        <v>Subway|Opener</v>
      </c>
    </row>
    <row r="457" spans="1:8" x14ac:dyDescent="0.35">
      <c r="A457" s="2" t="str">
        <f>Raw_Data!A457</f>
        <v>Subway</v>
      </c>
      <c r="B457" s="2" t="str">
        <f>Raw_Data!C457</f>
        <v>Retail</v>
      </c>
      <c r="C457" s="2" t="str">
        <f>Raw_Data!D457</f>
        <v>Shop Manager</v>
      </c>
      <c r="D457" s="2">
        <f>Raw_Data!F457</f>
        <v>23.28</v>
      </c>
      <c r="E457" s="2" t="str">
        <f>Raw_Data!H457</f>
        <v>HOURLY</v>
      </c>
      <c r="F457" s="2">
        <f>Raw_Data!I457</f>
        <v>6</v>
      </c>
      <c r="G457" s="13">
        <f>D457*INDEX(Multiplier_Lookup!$C$6:$C$9,MATCH(E457,Multiplier_Lookup!$B$6:$B$9,0))</f>
        <v>48422.400000000001</v>
      </c>
      <c r="H457" s="2" t="str">
        <f t="shared" si="7"/>
        <v>Subway|Shop Manager</v>
      </c>
    </row>
    <row r="458" spans="1:8" x14ac:dyDescent="0.35">
      <c r="A458" s="2" t="str">
        <f>Raw_Data!A458</f>
        <v>Subway</v>
      </c>
      <c r="B458" s="2" t="str">
        <f>Raw_Data!C458</f>
        <v>Retail</v>
      </c>
      <c r="C458" s="2" t="str">
        <f>Raw_Data!D458</f>
        <v>Retail Sales Associate</v>
      </c>
      <c r="D458" s="2">
        <f>Raw_Data!F458</f>
        <v>15.06</v>
      </c>
      <c r="E458" s="2" t="str">
        <f>Raw_Data!H458</f>
        <v>HOURLY</v>
      </c>
      <c r="F458" s="2">
        <f>Raw_Data!I458</f>
        <v>8</v>
      </c>
      <c r="G458" s="13">
        <f>D458*INDEX(Multiplier_Lookup!$C$6:$C$9,MATCH(E458,Multiplier_Lookup!$B$6:$B$9,0))</f>
        <v>31324.799999999999</v>
      </c>
      <c r="H458" s="2" t="str">
        <f t="shared" si="7"/>
        <v>Subway|Retail Sales Associate</v>
      </c>
    </row>
    <row r="459" spans="1:8" x14ac:dyDescent="0.35">
      <c r="A459" s="2" t="str">
        <f>Raw_Data!A459</f>
        <v>Subway</v>
      </c>
      <c r="B459" s="2" t="str">
        <f>Raw_Data!C459</f>
        <v>Retail</v>
      </c>
      <c r="C459" s="2" t="str">
        <f>Raw_Data!D459</f>
        <v>Shop Assistant</v>
      </c>
      <c r="D459" s="2">
        <f>Raw_Data!F459</f>
        <v>15.97</v>
      </c>
      <c r="E459" s="2" t="str">
        <f>Raw_Data!H459</f>
        <v>HOURLY</v>
      </c>
      <c r="F459" s="2">
        <f>Raw_Data!I459</f>
        <v>6</v>
      </c>
      <c r="G459" s="13">
        <f>D459*INDEX(Multiplier_Lookup!$C$6:$C$9,MATCH(E459,Multiplier_Lookup!$B$6:$B$9,0))</f>
        <v>33217.599999999999</v>
      </c>
      <c r="H459" s="2" t="str">
        <f t="shared" si="7"/>
        <v>Subway|Shop Assistant</v>
      </c>
    </row>
    <row r="460" spans="1:8" x14ac:dyDescent="0.35">
      <c r="A460" s="2" t="str">
        <f>Raw_Data!A460</f>
        <v>Subway</v>
      </c>
      <c r="B460" s="2" t="str">
        <f>Raw_Data!C460</f>
        <v>Retail</v>
      </c>
      <c r="C460" s="2" t="str">
        <f>Raw_Data!D460</f>
        <v>Inventory Specialist</v>
      </c>
      <c r="D460" s="2">
        <f>Raw_Data!F460</f>
        <v>15.82</v>
      </c>
      <c r="E460" s="2" t="str">
        <f>Raw_Data!H460</f>
        <v>HOURLY</v>
      </c>
      <c r="F460" s="2">
        <f>Raw_Data!I460</f>
        <v>5</v>
      </c>
      <c r="G460" s="13">
        <f>D460*INDEX(Multiplier_Lookup!$C$6:$C$9,MATCH(E460,Multiplier_Lookup!$B$6:$B$9,0))</f>
        <v>32905.599999999999</v>
      </c>
      <c r="H460" s="2" t="str">
        <f t="shared" si="7"/>
        <v>Subway|Inventory Specialist</v>
      </c>
    </row>
    <row r="461" spans="1:8" x14ac:dyDescent="0.35">
      <c r="A461" s="2" t="str">
        <f>Raw_Data!A461</f>
        <v>Subway</v>
      </c>
      <c r="B461" s="2" t="str">
        <f>Raw_Data!C461</f>
        <v>Customer Service</v>
      </c>
      <c r="C461" s="2" t="str">
        <f>Raw_Data!D461</f>
        <v>Member Services Representative</v>
      </c>
      <c r="D461" s="2">
        <f>Raw_Data!F461</f>
        <v>12.91</v>
      </c>
      <c r="E461" s="2" t="str">
        <f>Raw_Data!H461</f>
        <v>HOURLY</v>
      </c>
      <c r="F461" s="2">
        <f>Raw_Data!I461</f>
        <v>13</v>
      </c>
      <c r="G461" s="13">
        <f>D461*INDEX(Multiplier_Lookup!$C$6:$C$9,MATCH(E461,Multiplier_Lookup!$B$6:$B$9,0))</f>
        <v>26852.799999999999</v>
      </c>
      <c r="H461" s="2" t="str">
        <f t="shared" si="7"/>
        <v>Subway|Member Services Representative</v>
      </c>
    </row>
    <row r="462" spans="1:8" x14ac:dyDescent="0.35">
      <c r="A462" s="2" t="str">
        <f>Raw_Data!A462</f>
        <v>Burger King</v>
      </c>
      <c r="B462" s="2" t="str">
        <f>Raw_Data!C462</f>
        <v>Installation &amp; Maintenance</v>
      </c>
      <c r="C462" s="2" t="str">
        <f>Raw_Data!D462</f>
        <v>Equipment Service Technician</v>
      </c>
      <c r="D462" s="2">
        <f>Raw_Data!F462</f>
        <v>22.82</v>
      </c>
      <c r="E462" s="2" t="str">
        <f>Raw_Data!H462</f>
        <v>HOURLY</v>
      </c>
      <c r="F462" s="2">
        <f>Raw_Data!I462</f>
        <v>106</v>
      </c>
      <c r="G462" s="13">
        <f>D462*INDEX(Multiplier_Lookup!$C$6:$C$9,MATCH(E462,Multiplier_Lookup!$B$6:$B$9,0))</f>
        <v>47465.599999999999</v>
      </c>
      <c r="H462" s="2" t="str">
        <f t="shared" si="7"/>
        <v>Burger King|Equipment Service Technician</v>
      </c>
    </row>
    <row r="463" spans="1:8" x14ac:dyDescent="0.35">
      <c r="A463" s="2" t="str">
        <f>Raw_Data!A463</f>
        <v>Burger King</v>
      </c>
      <c r="B463" s="2" t="str">
        <f>Raw_Data!C463</f>
        <v>Installation &amp; Maintenance</v>
      </c>
      <c r="C463" s="2" t="str">
        <f>Raw_Data!D463</f>
        <v>Maintenance Technician</v>
      </c>
      <c r="D463" s="2">
        <f>Raw_Data!F463</f>
        <v>28.43</v>
      </c>
      <c r="E463" s="2" t="str">
        <f>Raw_Data!H463</f>
        <v>HOURLY</v>
      </c>
      <c r="F463" s="2">
        <f>Raw_Data!I463</f>
        <v>17</v>
      </c>
      <c r="G463" s="13">
        <f>D463*INDEX(Multiplier_Lookup!$C$6:$C$9,MATCH(E463,Multiplier_Lookup!$B$6:$B$9,0))</f>
        <v>59134.400000000001</v>
      </c>
      <c r="H463" s="2" t="str">
        <f t="shared" si="7"/>
        <v>Burger King|Maintenance Technician</v>
      </c>
    </row>
    <row r="464" spans="1:8" x14ac:dyDescent="0.35">
      <c r="A464" s="2" t="str">
        <f>Raw_Data!A464</f>
        <v>Burger King</v>
      </c>
      <c r="B464" s="2" t="str">
        <f>Raw_Data!C464</f>
        <v>Installation &amp; Maintenance</v>
      </c>
      <c r="C464" s="2" t="str">
        <f>Raw_Data!D464</f>
        <v>Repair Technician</v>
      </c>
      <c r="D464" s="2">
        <f>Raw_Data!F464</f>
        <v>22.91</v>
      </c>
      <c r="E464" s="2" t="str">
        <f>Raw_Data!H464</f>
        <v>HOURLY</v>
      </c>
      <c r="F464" s="2">
        <f>Raw_Data!I464</f>
        <v>69</v>
      </c>
      <c r="G464" s="13">
        <f>D464*INDEX(Multiplier_Lookup!$C$6:$C$9,MATCH(E464,Multiplier_Lookup!$B$6:$B$9,0))</f>
        <v>47652.800000000003</v>
      </c>
      <c r="H464" s="2" t="str">
        <f t="shared" si="7"/>
        <v>Burger King|Repair Technician</v>
      </c>
    </row>
    <row r="465" spans="1:8" x14ac:dyDescent="0.35">
      <c r="A465" s="2" t="str">
        <f>Raw_Data!A465</f>
        <v>Burger King</v>
      </c>
      <c r="B465" s="2" t="str">
        <f>Raw_Data!C465</f>
        <v>Installation &amp; Maintenance</v>
      </c>
      <c r="C465" s="2" t="str">
        <f>Raw_Data!D465</f>
        <v>Maintenance Person</v>
      </c>
      <c r="D465" s="2">
        <f>Raw_Data!F465</f>
        <v>18.37</v>
      </c>
      <c r="E465" s="2" t="str">
        <f>Raw_Data!H465</f>
        <v>HOURLY</v>
      </c>
      <c r="F465" s="2">
        <f>Raw_Data!I465</f>
        <v>5</v>
      </c>
      <c r="G465" s="13">
        <f>D465*INDEX(Multiplier_Lookup!$C$6:$C$9,MATCH(E465,Multiplier_Lookup!$B$6:$B$9,0))</f>
        <v>38209.599999999999</v>
      </c>
      <c r="H465" s="2" t="str">
        <f t="shared" si="7"/>
        <v>Burger King|Maintenance Person</v>
      </c>
    </row>
    <row r="466" spans="1:8" x14ac:dyDescent="0.35">
      <c r="A466" s="2" t="str">
        <f>Raw_Data!A466</f>
        <v>Burger King</v>
      </c>
      <c r="B466" s="2" t="str">
        <f>Raw_Data!C466</f>
        <v>Installation &amp; Maintenance</v>
      </c>
      <c r="C466" s="2" t="str">
        <f>Raw_Data!D466</f>
        <v>Road Manager</v>
      </c>
      <c r="D466" s="2">
        <f>Raw_Data!F466</f>
        <v>16</v>
      </c>
      <c r="E466" s="2" t="str">
        <f>Raw_Data!H466</f>
        <v>HOURLY</v>
      </c>
      <c r="F466" s="2">
        <f>Raw_Data!I466</f>
        <v>7</v>
      </c>
      <c r="G466" s="13">
        <f>D466*INDEX(Multiplier_Lookup!$C$6:$C$9,MATCH(E466,Multiplier_Lookup!$B$6:$B$9,0))</f>
        <v>33280</v>
      </c>
      <c r="H466" s="2" t="str">
        <f t="shared" si="7"/>
        <v>Burger King|Road Manager</v>
      </c>
    </row>
    <row r="467" spans="1:8" x14ac:dyDescent="0.35">
      <c r="A467" s="2" t="str">
        <f>Raw_Data!A467</f>
        <v>Burger King</v>
      </c>
      <c r="B467" s="2" t="str">
        <f>Raw_Data!C467</f>
        <v>Installation &amp; Maintenance</v>
      </c>
      <c r="C467" s="2" t="str">
        <f>Raw_Data!D467</f>
        <v>Locator</v>
      </c>
      <c r="D467" s="2">
        <f>Raw_Data!F467</f>
        <v>13.43</v>
      </c>
      <c r="E467" s="2" t="str">
        <f>Raw_Data!H467</f>
        <v>HOURLY</v>
      </c>
      <c r="F467" s="2">
        <f>Raw_Data!I467</f>
        <v>9</v>
      </c>
      <c r="G467" s="13">
        <f>D467*INDEX(Multiplier_Lookup!$C$6:$C$9,MATCH(E467,Multiplier_Lookup!$B$6:$B$9,0))</f>
        <v>27934.399999999998</v>
      </c>
      <c r="H467" s="2" t="str">
        <f t="shared" si="7"/>
        <v>Burger King|Locator</v>
      </c>
    </row>
    <row r="468" spans="1:8" x14ac:dyDescent="0.35">
      <c r="A468" s="2" t="str">
        <f>Raw_Data!A468</f>
        <v>Burger King</v>
      </c>
      <c r="B468" s="2" t="str">
        <f>Raw_Data!C468</f>
        <v>Installation &amp; Maintenance</v>
      </c>
      <c r="C468" s="2" t="str">
        <f>Raw_Data!D468</f>
        <v>Facilities Maintenance Technician</v>
      </c>
      <c r="D468" s="2">
        <f>Raw_Data!F468</f>
        <v>22.36</v>
      </c>
      <c r="E468" s="2" t="str">
        <f>Raw_Data!H468</f>
        <v>HOURLY</v>
      </c>
      <c r="F468" s="2">
        <f>Raw_Data!I468</f>
        <v>21</v>
      </c>
      <c r="G468" s="13">
        <f>D468*INDEX(Multiplier_Lookup!$C$6:$C$9,MATCH(E468,Multiplier_Lookup!$B$6:$B$9,0))</f>
        <v>46508.799999999996</v>
      </c>
      <c r="H468" s="2" t="str">
        <f t="shared" si="7"/>
        <v>Burger King|Facilities Maintenance Technician</v>
      </c>
    </row>
    <row r="469" spans="1:8" x14ac:dyDescent="0.35">
      <c r="A469" s="2" t="str">
        <f>Raw_Data!A469</f>
        <v>Burger King</v>
      </c>
      <c r="B469" s="2" t="str">
        <f>Raw_Data!C469</f>
        <v>Installation &amp; Maintenance</v>
      </c>
      <c r="C469" s="2" t="str">
        <f>Raw_Data!D469</f>
        <v>General Maintenance</v>
      </c>
      <c r="D469" s="2">
        <f>Raw_Data!F469</f>
        <v>20.49</v>
      </c>
      <c r="E469" s="2" t="str">
        <f>Raw_Data!H469</f>
        <v>HOURLY</v>
      </c>
      <c r="F469" s="2">
        <f>Raw_Data!I469</f>
        <v>19</v>
      </c>
      <c r="G469" s="13">
        <f>D469*INDEX(Multiplier_Lookup!$C$6:$C$9,MATCH(E469,Multiplier_Lookup!$B$6:$B$9,0))</f>
        <v>42619.199999999997</v>
      </c>
      <c r="H469" s="2" t="str">
        <f t="shared" si="7"/>
        <v>Burger King|General Maintenance</v>
      </c>
    </row>
    <row r="470" spans="1:8" x14ac:dyDescent="0.35">
      <c r="A470" s="2" t="str">
        <f>Raw_Data!A470</f>
        <v>Burger King</v>
      </c>
      <c r="B470" s="2" t="str">
        <f>Raw_Data!C470</f>
        <v>Installation &amp; Maintenance</v>
      </c>
      <c r="C470" s="2" t="str">
        <f>Raw_Data!D470</f>
        <v>Field Technician</v>
      </c>
      <c r="D470" s="2">
        <f>Raw_Data!F470</f>
        <v>74834</v>
      </c>
      <c r="E470" s="2" t="str">
        <f>Raw_Data!H470</f>
        <v>YEARLY</v>
      </c>
      <c r="F470" s="2">
        <f>Raw_Data!I470</f>
        <v>7</v>
      </c>
      <c r="G470" s="13">
        <f>D470*INDEX(Multiplier_Lookup!$C$6:$C$9,MATCH(E470,Multiplier_Lookup!$B$6:$B$9,0))</f>
        <v>74834</v>
      </c>
      <c r="H470" s="2" t="str">
        <f t="shared" si="7"/>
        <v>Burger King|Field Technician</v>
      </c>
    </row>
    <row r="471" spans="1:8" x14ac:dyDescent="0.35">
      <c r="A471" s="2" t="str">
        <f>Raw_Data!A471</f>
        <v>Burger King</v>
      </c>
      <c r="B471" s="2" t="str">
        <f>Raw_Data!C471</f>
        <v>Installation &amp; Maintenance</v>
      </c>
      <c r="C471" s="2" t="str">
        <f>Raw_Data!D471</f>
        <v>Facilities Technician</v>
      </c>
      <c r="D471" s="2">
        <f>Raw_Data!F471</f>
        <v>22.48</v>
      </c>
      <c r="E471" s="2" t="str">
        <f>Raw_Data!H471</f>
        <v>HOURLY</v>
      </c>
      <c r="F471" s="2">
        <f>Raw_Data!I471</f>
        <v>10</v>
      </c>
      <c r="G471" s="13">
        <f>D471*INDEX(Multiplier_Lookup!$C$6:$C$9,MATCH(E471,Multiplier_Lookup!$B$6:$B$9,0))</f>
        <v>46758.400000000001</v>
      </c>
      <c r="H471" s="2" t="str">
        <f t="shared" si="7"/>
        <v>Burger King|Facilities Technician</v>
      </c>
    </row>
    <row r="472" spans="1:8" x14ac:dyDescent="0.35">
      <c r="A472" s="2" t="str">
        <f>Raw_Data!A472</f>
        <v>Wendy's</v>
      </c>
      <c r="B472" s="2" t="str">
        <f>Raw_Data!C472</f>
        <v>Installation &amp; Maintenance</v>
      </c>
      <c r="C472" s="2" t="str">
        <f>Raw_Data!D472</f>
        <v>Maintenance Technician</v>
      </c>
      <c r="D472" s="2">
        <f>Raw_Data!F472</f>
        <v>28.76</v>
      </c>
      <c r="E472" s="2" t="str">
        <f>Raw_Data!H472</f>
        <v>HOURLY</v>
      </c>
      <c r="F472" s="2">
        <f>Raw_Data!I472</f>
        <v>194</v>
      </c>
      <c r="G472" s="13">
        <f>D472*INDEX(Multiplier_Lookup!$C$6:$C$9,MATCH(E472,Multiplier_Lookup!$B$6:$B$9,0))</f>
        <v>59820.800000000003</v>
      </c>
      <c r="H472" s="2" t="str">
        <f t="shared" si="7"/>
        <v>Wendy's|Maintenance Technician</v>
      </c>
    </row>
    <row r="473" spans="1:8" x14ac:dyDescent="0.35">
      <c r="A473" s="2" t="str">
        <f>Raw_Data!A473</f>
        <v>Wendy's</v>
      </c>
      <c r="B473" s="2" t="str">
        <f>Raw_Data!C473</f>
        <v>Installation &amp; Maintenance</v>
      </c>
      <c r="C473" s="2" t="str">
        <f>Raw_Data!D473</f>
        <v>Refrigeration Technician</v>
      </c>
      <c r="D473" s="2">
        <f>Raw_Data!F473</f>
        <v>30.55</v>
      </c>
      <c r="E473" s="2" t="str">
        <f>Raw_Data!H473</f>
        <v>HOURLY</v>
      </c>
      <c r="F473" s="2">
        <f>Raw_Data!I473</f>
        <v>87</v>
      </c>
      <c r="G473" s="13">
        <f>D473*INDEX(Multiplier_Lookup!$C$6:$C$9,MATCH(E473,Multiplier_Lookup!$B$6:$B$9,0))</f>
        <v>63544</v>
      </c>
      <c r="H473" s="2" t="str">
        <f t="shared" si="7"/>
        <v>Wendy's|Refrigeration Technician</v>
      </c>
    </row>
    <row r="474" spans="1:8" x14ac:dyDescent="0.35">
      <c r="A474" s="2" t="str">
        <f>Raw_Data!A474</f>
        <v>Wendy's</v>
      </c>
      <c r="B474" s="2" t="str">
        <f>Raw_Data!C474</f>
        <v>Installation &amp; Maintenance</v>
      </c>
      <c r="C474" s="2" t="str">
        <f>Raw_Data!D474</f>
        <v>Maintenance Person</v>
      </c>
      <c r="D474" s="2">
        <f>Raw_Data!F474</f>
        <v>13.21</v>
      </c>
      <c r="E474" s="2" t="str">
        <f>Raw_Data!H474</f>
        <v>HOURLY</v>
      </c>
      <c r="F474" s="2">
        <f>Raw_Data!I474</f>
        <v>22</v>
      </c>
      <c r="G474" s="13">
        <f>D474*INDEX(Multiplier_Lookup!$C$6:$C$9,MATCH(E474,Multiplier_Lookup!$B$6:$B$9,0))</f>
        <v>27476.800000000003</v>
      </c>
      <c r="H474" s="2" t="str">
        <f t="shared" si="7"/>
        <v>Wendy's|Maintenance Person</v>
      </c>
    </row>
    <row r="475" spans="1:8" x14ac:dyDescent="0.35">
      <c r="A475" s="2" t="str">
        <f>Raw_Data!A475</f>
        <v>Wendy's</v>
      </c>
      <c r="B475" s="2" t="str">
        <f>Raw_Data!C475</f>
        <v>Installation &amp; Maintenance</v>
      </c>
      <c r="C475" s="2" t="str">
        <f>Raw_Data!D475</f>
        <v>Facilities Maintenance Technician</v>
      </c>
      <c r="D475" s="2">
        <f>Raw_Data!F475</f>
        <v>26.06</v>
      </c>
      <c r="E475" s="2" t="str">
        <f>Raw_Data!H475</f>
        <v>HOURLY</v>
      </c>
      <c r="F475" s="2">
        <f>Raw_Data!I475</f>
        <v>16</v>
      </c>
      <c r="G475" s="13">
        <f>D475*INDEX(Multiplier_Lookup!$C$6:$C$9,MATCH(E475,Multiplier_Lookup!$B$6:$B$9,0))</f>
        <v>54204.799999999996</v>
      </c>
      <c r="H475" s="2" t="str">
        <f t="shared" si="7"/>
        <v>Wendy's|Facilities Maintenance Technician</v>
      </c>
    </row>
    <row r="476" spans="1:8" x14ac:dyDescent="0.35">
      <c r="A476" s="2" t="str">
        <f>Raw_Data!A476</f>
        <v>Wendy's</v>
      </c>
      <c r="B476" s="2" t="str">
        <f>Raw_Data!C476</f>
        <v>Installation &amp; Maintenance</v>
      </c>
      <c r="C476" s="2" t="str">
        <f>Raw_Data!D476</f>
        <v>Locator</v>
      </c>
      <c r="D476" s="2">
        <f>Raw_Data!F476</f>
        <v>11.12</v>
      </c>
      <c r="E476" s="2" t="str">
        <f>Raw_Data!H476</f>
        <v>HOURLY</v>
      </c>
      <c r="F476" s="2">
        <f>Raw_Data!I476</f>
        <v>10</v>
      </c>
      <c r="G476" s="13">
        <f>D476*INDEX(Multiplier_Lookup!$C$6:$C$9,MATCH(E476,Multiplier_Lookup!$B$6:$B$9,0))</f>
        <v>23129.599999999999</v>
      </c>
      <c r="H476" s="2" t="str">
        <f t="shared" si="7"/>
        <v>Wendy's|Locator</v>
      </c>
    </row>
    <row r="477" spans="1:8" x14ac:dyDescent="0.35">
      <c r="A477" s="2" t="str">
        <f>Raw_Data!A477</f>
        <v>Wendy's</v>
      </c>
      <c r="B477" s="2" t="str">
        <f>Raw_Data!C477</f>
        <v>Installation &amp; Maintenance</v>
      </c>
      <c r="C477" s="2" t="str">
        <f>Raw_Data!D477</f>
        <v>Road Manager</v>
      </c>
      <c r="D477" s="2">
        <f>Raw_Data!F477</f>
        <v>14.3</v>
      </c>
      <c r="E477" s="2" t="str">
        <f>Raw_Data!H477</f>
        <v>HOURLY</v>
      </c>
      <c r="F477" s="2">
        <f>Raw_Data!I477</f>
        <v>16</v>
      </c>
      <c r="G477" s="13">
        <f>D477*INDEX(Multiplier_Lookup!$C$6:$C$9,MATCH(E477,Multiplier_Lookup!$B$6:$B$9,0))</f>
        <v>29744</v>
      </c>
      <c r="H477" s="2" t="str">
        <f t="shared" si="7"/>
        <v>Wendy's|Road Manager</v>
      </c>
    </row>
    <row r="478" spans="1:8" x14ac:dyDescent="0.35">
      <c r="A478" s="2" t="str">
        <f>Raw_Data!A478</f>
        <v>Wendy's</v>
      </c>
      <c r="B478" s="2" t="str">
        <f>Raw_Data!C478</f>
        <v>Installation &amp; Maintenance</v>
      </c>
      <c r="C478" s="2" t="str">
        <f>Raw_Data!D478</f>
        <v>Maintenance Manager</v>
      </c>
      <c r="D478" s="2">
        <f>Raw_Data!F478</f>
        <v>18.329999999999998</v>
      </c>
      <c r="E478" s="2" t="str">
        <f>Raw_Data!H478</f>
        <v>HOURLY</v>
      </c>
      <c r="F478" s="2">
        <f>Raw_Data!I478</f>
        <v>14</v>
      </c>
      <c r="G478" s="13">
        <f>D478*INDEX(Multiplier_Lookup!$C$6:$C$9,MATCH(E478,Multiplier_Lookup!$B$6:$B$9,0))</f>
        <v>38126.399999999994</v>
      </c>
      <c r="H478" s="2" t="str">
        <f t="shared" si="7"/>
        <v>Wendy's|Maintenance Manager</v>
      </c>
    </row>
    <row r="479" spans="1:8" x14ac:dyDescent="0.35">
      <c r="A479" s="2" t="str">
        <f>Raw_Data!A479</f>
        <v>Wendy's</v>
      </c>
      <c r="B479" s="2" t="str">
        <f>Raw_Data!C479</f>
        <v>Installation &amp; Maintenance</v>
      </c>
      <c r="C479" s="2" t="str">
        <f>Raw_Data!D479</f>
        <v>HVAC Technician</v>
      </c>
      <c r="D479" s="2">
        <f>Raw_Data!F479</f>
        <v>27.8</v>
      </c>
      <c r="E479" s="2" t="str">
        <f>Raw_Data!H479</f>
        <v>HOURLY</v>
      </c>
      <c r="F479" s="2">
        <f>Raw_Data!I479</f>
        <v>20</v>
      </c>
      <c r="G479" s="13">
        <f>D479*INDEX(Multiplier_Lookup!$C$6:$C$9,MATCH(E479,Multiplier_Lookup!$B$6:$B$9,0))</f>
        <v>57824</v>
      </c>
      <c r="H479" s="2" t="str">
        <f t="shared" si="7"/>
        <v>Wendy's|HVAC Technician</v>
      </c>
    </row>
    <row r="480" spans="1:8" x14ac:dyDescent="0.35">
      <c r="A480" s="2" t="str">
        <f>Raw_Data!A480</f>
        <v>Wendy's</v>
      </c>
      <c r="B480" s="2" t="str">
        <f>Raw_Data!C480</f>
        <v>Installation &amp; Maintenance</v>
      </c>
      <c r="C480" s="2" t="str">
        <f>Raw_Data!D480</f>
        <v>Facilities Technician</v>
      </c>
      <c r="D480" s="2">
        <f>Raw_Data!F480</f>
        <v>34.82</v>
      </c>
      <c r="E480" s="2" t="str">
        <f>Raw_Data!H480</f>
        <v>HOURLY</v>
      </c>
      <c r="F480" s="2">
        <f>Raw_Data!I480</f>
        <v>6</v>
      </c>
      <c r="G480" s="13">
        <f>D480*INDEX(Multiplier_Lookup!$C$6:$C$9,MATCH(E480,Multiplier_Lookup!$B$6:$B$9,0))</f>
        <v>72425.600000000006</v>
      </c>
      <c r="H480" s="2" t="str">
        <f t="shared" si="7"/>
        <v>Wendy's|Facilities Technician</v>
      </c>
    </row>
    <row r="481" spans="1:8" x14ac:dyDescent="0.35">
      <c r="A481" s="2" t="str">
        <f>Raw_Data!A481</f>
        <v>Wendy's</v>
      </c>
      <c r="B481" s="2" t="str">
        <f>Raw_Data!C481</f>
        <v>Installation &amp; Maintenance</v>
      </c>
      <c r="C481" s="2" t="str">
        <f>Raw_Data!D481</f>
        <v>Technician</v>
      </c>
      <c r="D481" s="2">
        <f>Raw_Data!F481</f>
        <v>22.76</v>
      </c>
      <c r="E481" s="2" t="str">
        <f>Raw_Data!H481</f>
        <v>HOURLY</v>
      </c>
      <c r="F481" s="2">
        <f>Raw_Data!I481</f>
        <v>12</v>
      </c>
      <c r="G481" s="13">
        <f>D481*INDEX(Multiplier_Lookup!$C$6:$C$9,MATCH(E481,Multiplier_Lookup!$B$6:$B$9,0))</f>
        <v>47340.800000000003</v>
      </c>
      <c r="H481" s="2" t="str">
        <f t="shared" si="7"/>
        <v>Wendy's|Technician</v>
      </c>
    </row>
    <row r="482" spans="1:8" x14ac:dyDescent="0.35">
      <c r="A482" s="2" t="str">
        <f>Raw_Data!A482</f>
        <v>Pizza Hut</v>
      </c>
      <c r="B482" s="2" t="str">
        <f>Raw_Data!C482</f>
        <v>Driving</v>
      </c>
      <c r="C482" s="2" t="str">
        <f>Raw_Data!D482</f>
        <v>Delivery Driver</v>
      </c>
      <c r="D482" s="2">
        <f>Raw_Data!F482</f>
        <v>14.62</v>
      </c>
      <c r="E482" s="2" t="str">
        <f>Raw_Data!H482</f>
        <v>HOURLY</v>
      </c>
      <c r="F482" s="2">
        <f>Raw_Data!I482</f>
        <v>1031</v>
      </c>
      <c r="G482" s="13">
        <f>D482*INDEX(Multiplier_Lookup!$C$6:$C$9,MATCH(E482,Multiplier_Lookup!$B$6:$B$9,0))</f>
        <v>30409.599999999999</v>
      </c>
      <c r="H482" s="2" t="str">
        <f t="shared" si="7"/>
        <v>Pizza Hut|Delivery Driver</v>
      </c>
    </row>
    <row r="483" spans="1:8" x14ac:dyDescent="0.35">
      <c r="A483" s="2" t="str">
        <f>Raw_Data!A483</f>
        <v>Pizza Hut</v>
      </c>
      <c r="B483" s="2" t="str">
        <f>Raw_Data!C483</f>
        <v>Driving</v>
      </c>
      <c r="C483" s="2" t="str">
        <f>Raw_Data!D483</f>
        <v>Driver</v>
      </c>
      <c r="D483" s="2">
        <f>Raw_Data!F483</f>
        <v>11.89</v>
      </c>
      <c r="E483" s="2" t="str">
        <f>Raw_Data!H483</f>
        <v>HOURLY</v>
      </c>
      <c r="F483" s="2">
        <f>Raw_Data!I483</f>
        <v>170</v>
      </c>
      <c r="G483" s="13">
        <f>D483*INDEX(Multiplier_Lookup!$C$6:$C$9,MATCH(E483,Multiplier_Lookup!$B$6:$B$9,0))</f>
        <v>24731.200000000001</v>
      </c>
      <c r="H483" s="2" t="str">
        <f t="shared" si="7"/>
        <v>Pizza Hut|Driver</v>
      </c>
    </row>
    <row r="484" spans="1:8" x14ac:dyDescent="0.35">
      <c r="A484" s="2" t="str">
        <f>Raw_Data!A484</f>
        <v>Pizza Hut</v>
      </c>
      <c r="B484" s="2" t="str">
        <f>Raw_Data!C484</f>
        <v>Driving</v>
      </c>
      <c r="C484" s="2" t="str">
        <f>Raw_Data!D484</f>
        <v>Team Driver</v>
      </c>
      <c r="D484" s="2">
        <f>Raw_Data!F484</f>
        <v>11.41</v>
      </c>
      <c r="E484" s="2" t="str">
        <f>Raw_Data!H484</f>
        <v>HOURLY</v>
      </c>
      <c r="F484" s="2">
        <f>Raw_Data!I484</f>
        <v>6</v>
      </c>
      <c r="G484" s="13">
        <f>D484*INDEX(Multiplier_Lookup!$C$6:$C$9,MATCH(E484,Multiplier_Lookup!$B$6:$B$9,0))</f>
        <v>23732.799999999999</v>
      </c>
      <c r="H484" s="2" t="str">
        <f t="shared" si="7"/>
        <v>Pizza Hut|Team Driver</v>
      </c>
    </row>
    <row r="485" spans="1:8" x14ac:dyDescent="0.35">
      <c r="A485" s="2" t="str">
        <f>Raw_Data!A485</f>
        <v>Pizza Hut</v>
      </c>
      <c r="B485" s="2" t="str">
        <f>Raw_Data!C485</f>
        <v>Installation &amp; Maintenance</v>
      </c>
      <c r="C485" s="2" t="str">
        <f>Raw_Data!D485</f>
        <v>Senior Facilities Technician</v>
      </c>
      <c r="D485" s="2">
        <f>Raw_Data!F485</f>
        <v>26.04</v>
      </c>
      <c r="E485" s="2" t="str">
        <f>Raw_Data!H485</f>
        <v>HOURLY</v>
      </c>
      <c r="F485" s="2">
        <f>Raw_Data!I485</f>
        <v>22</v>
      </c>
      <c r="G485" s="13">
        <f>D485*INDEX(Multiplier_Lookup!$C$6:$C$9,MATCH(E485,Multiplier_Lookup!$B$6:$B$9,0))</f>
        <v>54163.199999999997</v>
      </c>
      <c r="H485" s="2" t="str">
        <f t="shared" si="7"/>
        <v>Pizza Hut|Senior Facilities Technician</v>
      </c>
    </row>
    <row r="486" spans="1:8" x14ac:dyDescent="0.35">
      <c r="A486" s="2" t="str">
        <f>Raw_Data!A486</f>
        <v>Pizza Hut</v>
      </c>
      <c r="B486" s="2" t="str">
        <f>Raw_Data!C486</f>
        <v>Installation &amp; Maintenance</v>
      </c>
      <c r="C486" s="2" t="str">
        <f>Raw_Data!D486</f>
        <v>Refrigeration Technician</v>
      </c>
      <c r="D486" s="2">
        <f>Raw_Data!F486</f>
        <v>25.52</v>
      </c>
      <c r="E486" s="2" t="str">
        <f>Raw_Data!H486</f>
        <v>HOURLY</v>
      </c>
      <c r="F486" s="2">
        <f>Raw_Data!I486</f>
        <v>39</v>
      </c>
      <c r="G486" s="13">
        <f>D486*INDEX(Multiplier_Lookup!$C$6:$C$9,MATCH(E486,Multiplier_Lookup!$B$6:$B$9,0))</f>
        <v>53081.599999999999</v>
      </c>
      <c r="H486" s="2" t="str">
        <f t="shared" si="7"/>
        <v>Pizza Hut|Refrigeration Technician</v>
      </c>
    </row>
    <row r="487" spans="1:8" x14ac:dyDescent="0.35">
      <c r="A487" s="2" t="str">
        <f>Raw_Data!A487</f>
        <v>Pizza Hut</v>
      </c>
      <c r="B487" s="2" t="str">
        <f>Raw_Data!C487</f>
        <v>Installation &amp; Maintenance</v>
      </c>
      <c r="C487" s="2" t="str">
        <f>Raw_Data!D487</f>
        <v>Maintenance Technician</v>
      </c>
      <c r="D487" s="2">
        <f>Raw_Data!F487</f>
        <v>26.84</v>
      </c>
      <c r="E487" s="2" t="str">
        <f>Raw_Data!H487</f>
        <v>HOURLY</v>
      </c>
      <c r="F487" s="2">
        <f>Raw_Data!I487</f>
        <v>7</v>
      </c>
      <c r="G487" s="13">
        <f>D487*INDEX(Multiplier_Lookup!$C$6:$C$9,MATCH(E487,Multiplier_Lookup!$B$6:$B$9,0))</f>
        <v>55827.199999999997</v>
      </c>
      <c r="H487" s="2" t="str">
        <f t="shared" si="7"/>
        <v>Pizza Hut|Maintenance Technician</v>
      </c>
    </row>
    <row r="488" spans="1:8" x14ac:dyDescent="0.35">
      <c r="A488" s="2" t="str">
        <f>Raw_Data!A488</f>
        <v>Pizza Hut</v>
      </c>
      <c r="B488" s="2" t="str">
        <f>Raw_Data!C488</f>
        <v>Installation &amp; Maintenance</v>
      </c>
      <c r="C488" s="2" t="str">
        <f>Raw_Data!D488</f>
        <v>General Maintenance</v>
      </c>
      <c r="D488" s="2">
        <f>Raw_Data!F488</f>
        <v>17.86</v>
      </c>
      <c r="E488" s="2" t="str">
        <f>Raw_Data!H488</f>
        <v>HOURLY</v>
      </c>
      <c r="F488" s="2">
        <f>Raw_Data!I488</f>
        <v>11</v>
      </c>
      <c r="G488" s="13">
        <f>D488*INDEX(Multiplier_Lookup!$C$6:$C$9,MATCH(E488,Multiplier_Lookup!$B$6:$B$9,0))</f>
        <v>37148.799999999996</v>
      </c>
      <c r="H488" s="2" t="str">
        <f t="shared" si="7"/>
        <v>Pizza Hut|General Maintenance</v>
      </c>
    </row>
    <row r="489" spans="1:8" x14ac:dyDescent="0.35">
      <c r="A489" s="2" t="str">
        <f>Raw_Data!A489</f>
        <v>Pizza Hut</v>
      </c>
      <c r="B489" s="2" t="str">
        <f>Raw_Data!C489</f>
        <v>Installation &amp; Maintenance</v>
      </c>
      <c r="C489" s="2" t="str">
        <f>Raw_Data!D489</f>
        <v>Facilities Technician</v>
      </c>
      <c r="D489" s="2">
        <f>Raw_Data!F489</f>
        <v>24.56</v>
      </c>
      <c r="E489" s="2" t="str">
        <f>Raw_Data!H489</f>
        <v>HOURLY</v>
      </c>
      <c r="F489" s="2">
        <f>Raw_Data!I489</f>
        <v>6</v>
      </c>
      <c r="G489" s="13">
        <f>D489*INDEX(Multiplier_Lookup!$C$6:$C$9,MATCH(E489,Multiplier_Lookup!$B$6:$B$9,0))</f>
        <v>51084.799999999996</v>
      </c>
      <c r="H489" s="2" t="str">
        <f t="shared" si="7"/>
        <v>Pizza Hut|Facilities Technician</v>
      </c>
    </row>
    <row r="490" spans="1:8" x14ac:dyDescent="0.35">
      <c r="A490" s="2" t="str">
        <f>Raw_Data!A490</f>
        <v>Pizza Hut</v>
      </c>
      <c r="B490" s="2" t="str">
        <f>Raw_Data!C490</f>
        <v>Installation &amp; Maintenance</v>
      </c>
      <c r="C490" s="2" t="str">
        <f>Raw_Data!D490</f>
        <v>Locator</v>
      </c>
      <c r="D490" s="2">
        <f>Raw_Data!F490</f>
        <v>16.05</v>
      </c>
      <c r="E490" s="2" t="str">
        <f>Raw_Data!H490</f>
        <v>HOURLY</v>
      </c>
      <c r="F490" s="2">
        <f>Raw_Data!I490</f>
        <v>6</v>
      </c>
      <c r="G490" s="13">
        <f>D490*INDEX(Multiplier_Lookup!$C$6:$C$9,MATCH(E490,Multiplier_Lookup!$B$6:$B$9,0))</f>
        <v>33384</v>
      </c>
      <c r="H490" s="2" t="str">
        <f t="shared" si="7"/>
        <v>Pizza Hut|Locator</v>
      </c>
    </row>
    <row r="491" spans="1:8" x14ac:dyDescent="0.35">
      <c r="A491" s="2" t="str">
        <f>Raw_Data!A491</f>
        <v>Pizza Hut</v>
      </c>
      <c r="B491" s="2" t="str">
        <f>Raw_Data!C491</f>
        <v>Installation &amp; Maintenance</v>
      </c>
      <c r="C491" s="2" t="str">
        <f>Raw_Data!D491</f>
        <v>Utility Worker</v>
      </c>
      <c r="D491" s="2">
        <f>Raw_Data!F491</f>
        <v>10</v>
      </c>
      <c r="E491" s="2" t="str">
        <f>Raw_Data!H491</f>
        <v>HOURLY</v>
      </c>
      <c r="F491" s="2">
        <f>Raw_Data!I491</f>
        <v>5</v>
      </c>
      <c r="G491" s="13">
        <f>D491*INDEX(Multiplier_Lookup!$C$6:$C$9,MATCH(E491,Multiplier_Lookup!$B$6:$B$9,0))</f>
        <v>20800</v>
      </c>
      <c r="H491" s="2" t="str">
        <f t="shared" si="7"/>
        <v>Pizza Hut|Utility Worker</v>
      </c>
    </row>
    <row r="492" spans="1:8" x14ac:dyDescent="0.35">
      <c r="A492" s="2" t="str">
        <f>Raw_Data!A492</f>
        <v>Dunkin'</v>
      </c>
      <c r="B492" s="2" t="str">
        <f>Raw_Data!C492</f>
        <v>Retail</v>
      </c>
      <c r="C492" s="2" t="str">
        <f>Raw_Data!D492</f>
        <v>Store Manager</v>
      </c>
      <c r="D492" s="2">
        <f>Raw_Data!F492</f>
        <v>17.100000000000001</v>
      </c>
      <c r="E492" s="2" t="str">
        <f>Raw_Data!H492</f>
        <v>HOURLY</v>
      </c>
      <c r="F492" s="2">
        <f>Raw_Data!I492</f>
        <v>36</v>
      </c>
      <c r="G492" s="13">
        <f>D492*INDEX(Multiplier_Lookup!$C$6:$C$9,MATCH(E492,Multiplier_Lookup!$B$6:$B$9,0))</f>
        <v>35568</v>
      </c>
      <c r="H492" s="2" t="str">
        <f t="shared" si="7"/>
        <v>Dunkin'|Store Manager</v>
      </c>
    </row>
    <row r="493" spans="1:8" x14ac:dyDescent="0.35">
      <c r="A493" s="2" t="str">
        <f>Raw_Data!A493</f>
        <v>Dunkin'</v>
      </c>
      <c r="B493" s="2" t="str">
        <f>Raw_Data!C493</f>
        <v>Retail</v>
      </c>
      <c r="C493" s="2" t="str">
        <f>Raw_Data!D493</f>
        <v>Opener</v>
      </c>
      <c r="D493" s="2">
        <f>Raw_Data!F493</f>
        <v>14.49</v>
      </c>
      <c r="E493" s="2" t="str">
        <f>Raw_Data!H493</f>
        <v>HOURLY</v>
      </c>
      <c r="F493" s="2">
        <f>Raw_Data!I493</f>
        <v>231</v>
      </c>
      <c r="G493" s="13">
        <f>D493*INDEX(Multiplier_Lookup!$C$6:$C$9,MATCH(E493,Multiplier_Lookup!$B$6:$B$9,0))</f>
        <v>30139.200000000001</v>
      </c>
      <c r="H493" s="2" t="str">
        <f t="shared" si="7"/>
        <v>Dunkin'|Opener</v>
      </c>
    </row>
    <row r="494" spans="1:8" x14ac:dyDescent="0.35">
      <c r="A494" s="2" t="str">
        <f>Raw_Data!A494</f>
        <v>Dunkin'</v>
      </c>
      <c r="B494" s="2" t="str">
        <f>Raw_Data!C494</f>
        <v>Retail</v>
      </c>
      <c r="C494" s="2" t="str">
        <f>Raw_Data!D494</f>
        <v>Cashier</v>
      </c>
      <c r="D494" s="2">
        <f>Raw_Data!F494</f>
        <v>12.99</v>
      </c>
      <c r="E494" s="2" t="str">
        <f>Raw_Data!H494</f>
        <v>HOURLY</v>
      </c>
      <c r="F494" s="2">
        <f>Raw_Data!I494</f>
        <v>52</v>
      </c>
      <c r="G494" s="13">
        <f>D494*INDEX(Multiplier_Lookup!$C$6:$C$9,MATCH(E494,Multiplier_Lookup!$B$6:$B$9,0))</f>
        <v>27019.200000000001</v>
      </c>
      <c r="H494" s="2" t="str">
        <f t="shared" si="7"/>
        <v>Dunkin'|Cashier</v>
      </c>
    </row>
    <row r="495" spans="1:8" x14ac:dyDescent="0.35">
      <c r="A495" s="2" t="str">
        <f>Raw_Data!A495</f>
        <v>Dunkin'</v>
      </c>
      <c r="B495" s="2" t="str">
        <f>Raw_Data!C495</f>
        <v>Retail</v>
      </c>
      <c r="C495" s="2" t="str">
        <f>Raw_Data!D495</f>
        <v>Encargado/a turno/a</v>
      </c>
      <c r="D495" s="2">
        <f>Raw_Data!F495</f>
        <v>15.9</v>
      </c>
      <c r="E495" s="2" t="str">
        <f>Raw_Data!H495</f>
        <v>HOURLY</v>
      </c>
      <c r="F495" s="2">
        <f>Raw_Data!I495</f>
        <v>264</v>
      </c>
      <c r="G495" s="13">
        <f>D495*INDEX(Multiplier_Lookup!$C$6:$C$9,MATCH(E495,Multiplier_Lookup!$B$6:$B$9,0))</f>
        <v>33072</v>
      </c>
      <c r="H495" s="2" t="str">
        <f t="shared" si="7"/>
        <v>Dunkin'|Encargado/a turno/a</v>
      </c>
    </row>
    <row r="496" spans="1:8" x14ac:dyDescent="0.35">
      <c r="A496" s="2" t="str">
        <f>Raw_Data!A496</f>
        <v>Dunkin'</v>
      </c>
      <c r="B496" s="2" t="str">
        <f>Raw_Data!C496</f>
        <v>Retail</v>
      </c>
      <c r="C496" s="2" t="str">
        <f>Raw_Data!D496</f>
        <v>Assistant Store Manager</v>
      </c>
      <c r="D496" s="2">
        <f>Raw_Data!F496</f>
        <v>16.87</v>
      </c>
      <c r="E496" s="2" t="str">
        <f>Raw_Data!H496</f>
        <v>HOURLY</v>
      </c>
      <c r="F496" s="2">
        <f>Raw_Data!I496</f>
        <v>120</v>
      </c>
      <c r="G496" s="13">
        <f>D496*INDEX(Multiplier_Lookup!$C$6:$C$9,MATCH(E496,Multiplier_Lookup!$B$6:$B$9,0))</f>
        <v>35089.599999999999</v>
      </c>
      <c r="H496" s="2" t="str">
        <f t="shared" si="7"/>
        <v>Dunkin'|Assistant Store Manager</v>
      </c>
    </row>
    <row r="497" spans="1:8" x14ac:dyDescent="0.35">
      <c r="A497" s="2" t="str">
        <f>Raw_Data!A497</f>
        <v>Dunkin'</v>
      </c>
      <c r="B497" s="2" t="str">
        <f>Raw_Data!C497</f>
        <v>Retail</v>
      </c>
      <c r="C497" s="2" t="str">
        <f>Raw_Data!D497</f>
        <v>Customer Service Associate / Cashier</v>
      </c>
      <c r="D497" s="2">
        <f>Raw_Data!F497</f>
        <v>13.66</v>
      </c>
      <c r="E497" s="2" t="str">
        <f>Raw_Data!H497</f>
        <v>HOURLY</v>
      </c>
      <c r="F497" s="2">
        <f>Raw_Data!I497</f>
        <v>42</v>
      </c>
      <c r="G497" s="13">
        <f>D497*INDEX(Multiplier_Lookup!$C$6:$C$9,MATCH(E497,Multiplier_Lookup!$B$6:$B$9,0))</f>
        <v>28412.799999999999</v>
      </c>
      <c r="H497" s="2" t="str">
        <f t="shared" si="7"/>
        <v>Dunkin'|Customer Service Associate / Cashier</v>
      </c>
    </row>
    <row r="498" spans="1:8" x14ac:dyDescent="0.35">
      <c r="A498" s="2" t="str">
        <f>Raw_Data!A498</f>
        <v>Dunkin'</v>
      </c>
      <c r="B498" s="2" t="str">
        <f>Raw_Data!C498</f>
        <v>Retail</v>
      </c>
      <c r="C498" s="2" t="str">
        <f>Raw_Data!D498</f>
        <v>Overnight Closer</v>
      </c>
      <c r="D498" s="2">
        <f>Raw_Data!F498</f>
        <v>15.59</v>
      </c>
      <c r="E498" s="2" t="str">
        <f>Raw_Data!H498</f>
        <v>HOURLY</v>
      </c>
      <c r="F498" s="2">
        <f>Raw_Data!I498</f>
        <v>9</v>
      </c>
      <c r="G498" s="13">
        <f>D498*INDEX(Multiplier_Lookup!$C$6:$C$9,MATCH(E498,Multiplier_Lookup!$B$6:$B$9,0))</f>
        <v>32427.200000000001</v>
      </c>
      <c r="H498" s="2" t="str">
        <f t="shared" si="7"/>
        <v>Dunkin'|Overnight Closer</v>
      </c>
    </row>
    <row r="499" spans="1:8" x14ac:dyDescent="0.35">
      <c r="A499" s="2" t="str">
        <f>Raw_Data!A499</f>
        <v>Dunkin'</v>
      </c>
      <c r="B499" s="2" t="str">
        <f>Raw_Data!C499</f>
        <v>Retail</v>
      </c>
      <c r="C499" s="2" t="str">
        <f>Raw_Data!D499</f>
        <v>Retail Sales Associate</v>
      </c>
      <c r="D499" s="2">
        <f>Raw_Data!F499</f>
        <v>16.04</v>
      </c>
      <c r="E499" s="2" t="str">
        <f>Raw_Data!H499</f>
        <v>HOURLY</v>
      </c>
      <c r="F499" s="2">
        <f>Raw_Data!I499</f>
        <v>20</v>
      </c>
      <c r="G499" s="13">
        <f>D499*INDEX(Multiplier_Lookup!$C$6:$C$9,MATCH(E499,Multiplier_Lookup!$B$6:$B$9,0))</f>
        <v>33363.199999999997</v>
      </c>
      <c r="H499" s="2" t="str">
        <f t="shared" si="7"/>
        <v>Dunkin'|Retail Sales Associate</v>
      </c>
    </row>
    <row r="500" spans="1:8" x14ac:dyDescent="0.35">
      <c r="A500" s="2" t="str">
        <f>Raw_Data!A500</f>
        <v>Dunkin'</v>
      </c>
      <c r="B500" s="2" t="str">
        <f>Raw_Data!C500</f>
        <v>Retail</v>
      </c>
      <c r="C500" s="2" t="str">
        <f>Raw_Data!D500</f>
        <v>Front End Associate</v>
      </c>
      <c r="D500" s="2">
        <f>Raw_Data!F500</f>
        <v>15.35</v>
      </c>
      <c r="E500" s="2" t="str">
        <f>Raw_Data!H500</f>
        <v>HOURLY</v>
      </c>
      <c r="F500" s="2">
        <f>Raw_Data!I500</f>
        <v>7</v>
      </c>
      <c r="G500" s="13">
        <f>D500*INDEX(Multiplier_Lookup!$C$6:$C$9,MATCH(E500,Multiplier_Lookup!$B$6:$B$9,0))</f>
        <v>31928</v>
      </c>
      <c r="H500" s="2" t="str">
        <f t="shared" si="7"/>
        <v>Dunkin'|Front End Associate</v>
      </c>
    </row>
    <row r="501" spans="1:8" x14ac:dyDescent="0.35">
      <c r="A501" s="2" t="str">
        <f>Raw_Data!A501</f>
        <v>Dunkin'</v>
      </c>
      <c r="B501" s="2" t="str">
        <f>Raw_Data!C501</f>
        <v>Retail</v>
      </c>
      <c r="C501" s="2" t="str">
        <f>Raw_Data!D501</f>
        <v>Overnight Associate</v>
      </c>
      <c r="D501" s="2">
        <f>Raw_Data!F501</f>
        <v>16.8</v>
      </c>
      <c r="E501" s="2" t="str">
        <f>Raw_Data!H501</f>
        <v>HOURLY</v>
      </c>
      <c r="F501" s="2">
        <f>Raw_Data!I501</f>
        <v>6</v>
      </c>
      <c r="G501" s="13">
        <f>D501*INDEX(Multiplier_Lookup!$C$6:$C$9,MATCH(E501,Multiplier_Lookup!$B$6:$B$9,0))</f>
        <v>34944</v>
      </c>
      <c r="H501" s="2" t="str">
        <f t="shared" si="7"/>
        <v>Dunkin'|Overnight Associate</v>
      </c>
    </row>
    <row r="502" spans="1:8" x14ac:dyDescent="0.35">
      <c r="A502" s="2" t="str">
        <f>Raw_Data!A502</f>
        <v>Best Buy</v>
      </c>
      <c r="B502" s="2" t="str">
        <f>Raw_Data!C502</f>
        <v>Management</v>
      </c>
      <c r="C502" s="2" t="str">
        <f>Raw_Data!D502</f>
        <v>Squad Leader</v>
      </c>
      <c r="D502" s="2">
        <f>Raw_Data!F502</f>
        <v>20.21</v>
      </c>
      <c r="E502" s="2" t="str">
        <f>Raw_Data!H502</f>
        <v>HOURLY</v>
      </c>
      <c r="F502" s="2">
        <f>Raw_Data!I502</f>
        <v>14</v>
      </c>
      <c r="G502" s="13">
        <f>D502*INDEX(Multiplier_Lookup!$C$6:$C$9,MATCH(E502,Multiplier_Lookup!$B$6:$B$9,0))</f>
        <v>42036.800000000003</v>
      </c>
      <c r="H502" s="2" t="str">
        <f t="shared" si="7"/>
        <v>Best Buy|Squad Leader</v>
      </c>
    </row>
    <row r="503" spans="1:8" x14ac:dyDescent="0.35">
      <c r="A503" s="2" t="str">
        <f>Raw_Data!A503</f>
        <v>Best Buy</v>
      </c>
      <c r="B503" s="2" t="str">
        <f>Raw_Data!C503</f>
        <v>Management</v>
      </c>
      <c r="C503" s="2" t="str">
        <f>Raw_Data!D503</f>
        <v>Manager</v>
      </c>
      <c r="D503" s="2">
        <f>Raw_Data!F503</f>
        <v>75097</v>
      </c>
      <c r="E503" s="2" t="str">
        <f>Raw_Data!H503</f>
        <v>YEARLY</v>
      </c>
      <c r="F503" s="2">
        <f>Raw_Data!I503</f>
        <v>15</v>
      </c>
      <c r="G503" s="13">
        <f>D503*INDEX(Multiplier_Lookup!$C$6:$C$9,MATCH(E503,Multiplier_Lookup!$B$6:$B$9,0))</f>
        <v>75097</v>
      </c>
      <c r="H503" s="2" t="str">
        <f t="shared" si="7"/>
        <v>Best Buy|Manager</v>
      </c>
    </row>
    <row r="504" spans="1:8" x14ac:dyDescent="0.35">
      <c r="A504" s="2" t="str">
        <f>Raw_Data!A504</f>
        <v>Best Buy</v>
      </c>
      <c r="B504" s="2" t="str">
        <f>Raw_Data!C504</f>
        <v>Management</v>
      </c>
      <c r="C504" s="2" t="str">
        <f>Raw_Data!D504</f>
        <v>Director</v>
      </c>
      <c r="D504" s="2">
        <f>Raw_Data!F504</f>
        <v>160517</v>
      </c>
      <c r="E504" s="2" t="str">
        <f>Raw_Data!H504</f>
        <v>YEARLY</v>
      </c>
      <c r="F504" s="2">
        <f>Raw_Data!I504</f>
        <v>14</v>
      </c>
      <c r="G504" s="13">
        <f>D504*INDEX(Multiplier_Lookup!$C$6:$C$9,MATCH(E504,Multiplier_Lookup!$B$6:$B$9,0))</f>
        <v>160517</v>
      </c>
      <c r="H504" s="2" t="str">
        <f t="shared" si="7"/>
        <v>Best Buy|Director</v>
      </c>
    </row>
    <row r="505" spans="1:8" x14ac:dyDescent="0.35">
      <c r="A505" s="2" t="str">
        <f>Raw_Data!A505</f>
        <v>Best Buy</v>
      </c>
      <c r="B505" s="2" t="str">
        <f>Raw_Data!C505</f>
        <v>Management</v>
      </c>
      <c r="C505" s="2" t="str">
        <f>Raw_Data!D505</f>
        <v>Associate Manager</v>
      </c>
      <c r="D505" s="2">
        <f>Raw_Data!F505</f>
        <v>93640</v>
      </c>
      <c r="E505" s="2" t="str">
        <f>Raw_Data!H505</f>
        <v>YEARLY</v>
      </c>
      <c r="F505" s="2">
        <f>Raw_Data!I505</f>
        <v>7</v>
      </c>
      <c r="G505" s="13">
        <f>D505*INDEX(Multiplier_Lookup!$C$6:$C$9,MATCH(E505,Multiplier_Lookup!$B$6:$B$9,0))</f>
        <v>93640</v>
      </c>
      <c r="H505" s="2" t="str">
        <f t="shared" si="7"/>
        <v>Best Buy|Associate Manager</v>
      </c>
    </row>
    <row r="506" spans="1:8" x14ac:dyDescent="0.35">
      <c r="A506" s="2" t="str">
        <f>Raw_Data!A506</f>
        <v>Best Buy</v>
      </c>
      <c r="B506" s="2" t="str">
        <f>Raw_Data!C506</f>
        <v>Management</v>
      </c>
      <c r="C506" s="2" t="str">
        <f>Raw_Data!D506</f>
        <v>Shift Leader</v>
      </c>
      <c r="D506" s="2">
        <f>Raw_Data!F506</f>
        <v>92424</v>
      </c>
      <c r="E506" s="2" t="str">
        <f>Raw_Data!H506</f>
        <v>YEARLY</v>
      </c>
      <c r="F506" s="2">
        <f>Raw_Data!I506</f>
        <v>3</v>
      </c>
      <c r="G506" s="13">
        <f>D506*INDEX(Multiplier_Lookup!$C$6:$C$9,MATCH(E506,Multiplier_Lookup!$B$6:$B$9,0))</f>
        <v>92424</v>
      </c>
      <c r="H506" s="2" t="str">
        <f t="shared" si="7"/>
        <v>Best Buy|Shift Leader</v>
      </c>
    </row>
    <row r="507" spans="1:8" x14ac:dyDescent="0.35">
      <c r="A507" s="2" t="str">
        <f>Raw_Data!A507</f>
        <v>Best Buy</v>
      </c>
      <c r="B507" s="2" t="str">
        <f>Raw_Data!C507</f>
        <v>Management</v>
      </c>
      <c r="C507" s="2" t="str">
        <f>Raw_Data!D507</f>
        <v>Senior Manager</v>
      </c>
      <c r="D507" s="2">
        <f>Raw_Data!F507</f>
        <v>140191</v>
      </c>
      <c r="E507" s="2" t="str">
        <f>Raw_Data!H507</f>
        <v>YEARLY</v>
      </c>
      <c r="F507" s="2">
        <f>Raw_Data!I507</f>
        <v>7</v>
      </c>
      <c r="G507" s="13">
        <f>D507*INDEX(Multiplier_Lookup!$C$6:$C$9,MATCH(E507,Multiplier_Lookup!$B$6:$B$9,0))</f>
        <v>140191</v>
      </c>
      <c r="H507" s="2" t="str">
        <f t="shared" si="7"/>
        <v>Best Buy|Senior Manager</v>
      </c>
    </row>
    <row r="508" spans="1:8" x14ac:dyDescent="0.35">
      <c r="A508" s="2" t="str">
        <f>Raw_Data!A508</f>
        <v>Best Buy</v>
      </c>
      <c r="B508" s="2" t="str">
        <f>Raw_Data!C508</f>
        <v>Management</v>
      </c>
      <c r="C508" s="2" t="str">
        <f>Raw_Data!D508</f>
        <v>Senior Consultant</v>
      </c>
      <c r="D508" s="2">
        <f>Raw_Data!F508</f>
        <v>60737</v>
      </c>
      <c r="E508" s="2" t="str">
        <f>Raw_Data!H508</f>
        <v>YEARLY</v>
      </c>
      <c r="F508" s="2">
        <f>Raw_Data!I508</f>
        <v>6</v>
      </c>
      <c r="G508" s="13">
        <f>D508*INDEX(Multiplier_Lookup!$C$6:$C$9,MATCH(E508,Multiplier_Lookup!$B$6:$B$9,0))</f>
        <v>60737</v>
      </c>
      <c r="H508" s="2" t="str">
        <f t="shared" si="7"/>
        <v>Best Buy|Senior Consultant</v>
      </c>
    </row>
    <row r="509" spans="1:8" x14ac:dyDescent="0.35">
      <c r="A509" s="2" t="str">
        <f>Raw_Data!A509</f>
        <v>Best Buy</v>
      </c>
      <c r="B509" s="2" t="str">
        <f>Raw_Data!C509</f>
        <v>Management</v>
      </c>
      <c r="C509" s="2" t="str">
        <f>Raw_Data!D509</f>
        <v>Consultant</v>
      </c>
      <c r="D509" s="2">
        <f>Raw_Data!F509</f>
        <v>14.33</v>
      </c>
      <c r="E509" s="2" t="str">
        <f>Raw_Data!H509</f>
        <v>HOURLY</v>
      </c>
      <c r="F509" s="2">
        <f>Raw_Data!I509</f>
        <v>8</v>
      </c>
      <c r="G509" s="13">
        <f>D509*INDEX(Multiplier_Lookup!$C$6:$C$9,MATCH(E509,Multiplier_Lookup!$B$6:$B$9,0))</f>
        <v>29806.400000000001</v>
      </c>
      <c r="H509" s="2" t="str">
        <f t="shared" si="7"/>
        <v>Best Buy|Consultant</v>
      </c>
    </row>
    <row r="510" spans="1:8" x14ac:dyDescent="0.35">
      <c r="A510" s="2" t="str">
        <f>Raw_Data!A510</f>
        <v>Best Buy</v>
      </c>
      <c r="B510" s="2" t="str">
        <f>Raw_Data!C510</f>
        <v>Management</v>
      </c>
      <c r="C510" s="2" t="str">
        <f>Raw_Data!D510</f>
        <v>Associate Director</v>
      </c>
      <c r="D510" s="2">
        <f>Raw_Data!F510</f>
        <v>164380</v>
      </c>
      <c r="E510" s="2" t="str">
        <f>Raw_Data!H510</f>
        <v>YEARLY</v>
      </c>
      <c r="F510" s="2">
        <f>Raw_Data!I510</f>
        <v>6</v>
      </c>
      <c r="G510" s="13">
        <f>D510*INDEX(Multiplier_Lookup!$C$6:$C$9,MATCH(E510,Multiplier_Lookup!$B$6:$B$9,0))</f>
        <v>164380</v>
      </c>
      <c r="H510" s="2" t="str">
        <f t="shared" si="7"/>
        <v>Best Buy|Associate Director</v>
      </c>
    </row>
    <row r="511" spans="1:8" x14ac:dyDescent="0.35">
      <c r="A511" s="2" t="str">
        <f>Raw_Data!A511</f>
        <v>Best Buy</v>
      </c>
      <c r="B511" s="2" t="str">
        <f>Raw_Data!C511</f>
        <v>Management</v>
      </c>
      <c r="C511" s="2" t="str">
        <f>Raw_Data!D511</f>
        <v>Supervisor</v>
      </c>
      <c r="D511" s="2">
        <f>Raw_Data!F511</f>
        <v>20.02</v>
      </c>
      <c r="E511" s="2" t="str">
        <f>Raw_Data!H511</f>
        <v>HOURLY</v>
      </c>
      <c r="F511" s="2">
        <f>Raw_Data!I511</f>
        <v>5</v>
      </c>
      <c r="G511" s="13">
        <f>D511*INDEX(Multiplier_Lookup!$C$6:$C$9,MATCH(E511,Multiplier_Lookup!$B$6:$B$9,0))</f>
        <v>41641.599999999999</v>
      </c>
      <c r="H511" s="2" t="str">
        <f t="shared" si="7"/>
        <v>Best Buy|Supervisor</v>
      </c>
    </row>
    <row r="512" spans="1:8" x14ac:dyDescent="0.35">
      <c r="A512" s="2" t="str">
        <f>Raw_Data!A512</f>
        <v>Lowe's Home Improvement</v>
      </c>
      <c r="B512" s="2" t="str">
        <f>Raw_Data!C512</f>
        <v>Driving</v>
      </c>
      <c r="C512" s="2" t="str">
        <f>Raw_Data!D512</f>
        <v>Truck Driver</v>
      </c>
      <c r="D512" s="2">
        <f>Raw_Data!F512</f>
        <v>23.96</v>
      </c>
      <c r="E512" s="2" t="str">
        <f>Raw_Data!H512</f>
        <v>HOURLY</v>
      </c>
      <c r="F512" s="2">
        <f>Raw_Data!I512</f>
        <v>711</v>
      </c>
      <c r="G512" s="13">
        <f>D512*INDEX(Multiplier_Lookup!$C$6:$C$9,MATCH(E512,Multiplier_Lookup!$B$6:$B$9,0))</f>
        <v>49836.800000000003</v>
      </c>
      <c r="H512" s="2" t="str">
        <f t="shared" si="7"/>
        <v>Lowe's Home Improvement|Truck Driver</v>
      </c>
    </row>
    <row r="513" spans="1:8" x14ac:dyDescent="0.35">
      <c r="A513" s="2" t="str">
        <f>Raw_Data!A513</f>
        <v>Lowe's Home Improvement</v>
      </c>
      <c r="B513" s="2" t="str">
        <f>Raw_Data!C513</f>
        <v>Driving</v>
      </c>
      <c r="C513" s="2" t="str">
        <f>Raw_Data!D513</f>
        <v>Delivery Driver</v>
      </c>
      <c r="D513" s="2">
        <f>Raw_Data!F513</f>
        <v>19.46</v>
      </c>
      <c r="E513" s="2" t="str">
        <f>Raw_Data!H513</f>
        <v>HOURLY</v>
      </c>
      <c r="F513" s="2">
        <f>Raw_Data!I513</f>
        <v>10</v>
      </c>
      <c r="G513" s="13">
        <f>D513*INDEX(Multiplier_Lookup!$C$6:$C$9,MATCH(E513,Multiplier_Lookup!$B$6:$B$9,0))</f>
        <v>40476.800000000003</v>
      </c>
      <c r="H513" s="2" t="str">
        <f t="shared" si="7"/>
        <v>Lowe's Home Improvement|Delivery Driver</v>
      </c>
    </row>
    <row r="514" spans="1:8" x14ac:dyDescent="0.35">
      <c r="A514" s="2" t="str">
        <f>Raw_Data!A514</f>
        <v>Lowe's Home Improvement</v>
      </c>
      <c r="B514" s="2" t="str">
        <f>Raw_Data!C514</f>
        <v>Driving</v>
      </c>
      <c r="C514" s="2" t="str">
        <f>Raw_Data!D514</f>
        <v>Driver</v>
      </c>
      <c r="D514" s="2">
        <f>Raw_Data!F514</f>
        <v>19.62</v>
      </c>
      <c r="E514" s="2" t="str">
        <f>Raw_Data!H514</f>
        <v>HOURLY</v>
      </c>
      <c r="F514" s="2">
        <f>Raw_Data!I514</f>
        <v>8</v>
      </c>
      <c r="G514" s="13">
        <f>D514*INDEX(Multiplier_Lookup!$C$6:$C$9,MATCH(E514,Multiplier_Lookup!$B$6:$B$9,0))</f>
        <v>40809.599999999999</v>
      </c>
      <c r="H514" s="2" t="str">
        <f t="shared" ref="H514:H577" si="8">A514&amp;"|"&amp;C514</f>
        <v>Lowe's Home Improvement|Driver</v>
      </c>
    </row>
    <row r="515" spans="1:8" x14ac:dyDescent="0.35">
      <c r="A515" s="2" t="str">
        <f>Raw_Data!A515</f>
        <v>Lowe's Home Improvement</v>
      </c>
      <c r="B515" s="2" t="str">
        <f>Raw_Data!C515</f>
        <v>Driving</v>
      </c>
      <c r="C515" s="2" t="str">
        <f>Raw_Data!D515</f>
        <v>Local Driver</v>
      </c>
      <c r="D515" s="2">
        <f>Raw_Data!F515</f>
        <v>22.47</v>
      </c>
      <c r="E515" s="2" t="str">
        <f>Raw_Data!H515</f>
        <v>HOURLY</v>
      </c>
      <c r="F515" s="2">
        <f>Raw_Data!I515</f>
        <v>6</v>
      </c>
      <c r="G515" s="13">
        <f>D515*INDEX(Multiplier_Lookup!$C$6:$C$9,MATCH(E515,Multiplier_Lookup!$B$6:$B$9,0))</f>
        <v>46737.599999999999</v>
      </c>
      <c r="H515" s="2" t="str">
        <f t="shared" si="8"/>
        <v>Lowe's Home Improvement|Local Driver</v>
      </c>
    </row>
    <row r="516" spans="1:8" x14ac:dyDescent="0.35">
      <c r="A516" s="2" t="str">
        <f>Raw_Data!A516</f>
        <v>Lowe's Home Improvement</v>
      </c>
      <c r="B516" s="2" t="str">
        <f>Raw_Data!C516</f>
        <v>Driving</v>
      </c>
      <c r="C516" s="2" t="str">
        <f>Raw_Data!D516</f>
        <v>Senior Driver</v>
      </c>
      <c r="D516" s="2">
        <f>Raw_Data!F516</f>
        <v>24.68</v>
      </c>
      <c r="E516" s="2" t="str">
        <f>Raw_Data!H516</f>
        <v>HOURLY</v>
      </c>
      <c r="F516" s="2">
        <f>Raw_Data!I516</f>
        <v>3</v>
      </c>
      <c r="G516" s="13">
        <f>D516*INDEX(Multiplier_Lookup!$C$6:$C$9,MATCH(E516,Multiplier_Lookup!$B$6:$B$9,0))</f>
        <v>51334.400000000001</v>
      </c>
      <c r="H516" s="2" t="str">
        <f t="shared" si="8"/>
        <v>Lowe's Home Improvement|Senior Driver</v>
      </c>
    </row>
    <row r="517" spans="1:8" x14ac:dyDescent="0.35">
      <c r="A517" s="2" t="str">
        <f>Raw_Data!A517</f>
        <v>Lowe's Home Improvement</v>
      </c>
      <c r="B517" s="2" t="str">
        <f>Raw_Data!C517</f>
        <v>Driving</v>
      </c>
      <c r="C517" s="2" t="str">
        <f>Raw_Data!D517</f>
        <v>Senior Delivery Driver</v>
      </c>
      <c r="D517" s="2">
        <f>Raw_Data!F517</f>
        <v>17.86</v>
      </c>
      <c r="E517" s="2" t="str">
        <f>Raw_Data!H517</f>
        <v>HOURLY</v>
      </c>
      <c r="F517" s="2">
        <f>Raw_Data!I517</f>
        <v>1</v>
      </c>
      <c r="G517" s="13">
        <f>D517*INDEX(Multiplier_Lookup!$C$6:$C$9,MATCH(E517,Multiplier_Lookup!$B$6:$B$9,0))</f>
        <v>37148.799999999996</v>
      </c>
      <c r="H517" s="2" t="str">
        <f t="shared" si="8"/>
        <v>Lowe's Home Improvement|Senior Delivery Driver</v>
      </c>
    </row>
    <row r="518" spans="1:8" x14ac:dyDescent="0.35">
      <c r="A518" s="2" t="str">
        <f>Raw_Data!A518</f>
        <v>Lowe's Home Improvement</v>
      </c>
      <c r="B518" s="2" t="str">
        <f>Raw_Data!C518</f>
        <v>Driving</v>
      </c>
      <c r="C518" s="2" t="str">
        <f>Raw_Data!D518</f>
        <v>Long Haul Driver</v>
      </c>
      <c r="D518" s="2">
        <f>Raw_Data!F518</f>
        <v>19.5</v>
      </c>
      <c r="E518" s="2" t="str">
        <f>Raw_Data!H518</f>
        <v>HOURLY</v>
      </c>
      <c r="F518" s="2">
        <f>Raw_Data!I518</f>
        <v>1</v>
      </c>
      <c r="G518" s="13">
        <f>D518*INDEX(Multiplier_Lookup!$C$6:$C$9,MATCH(E518,Multiplier_Lookup!$B$6:$B$9,0))</f>
        <v>40560</v>
      </c>
      <c r="H518" s="2" t="str">
        <f t="shared" si="8"/>
        <v>Lowe's Home Improvement|Long Haul Driver</v>
      </c>
    </row>
    <row r="519" spans="1:8" x14ac:dyDescent="0.35">
      <c r="A519" s="2" t="str">
        <f>Raw_Data!A519</f>
        <v>Lowe's Home Improvement</v>
      </c>
      <c r="B519" s="2" t="str">
        <f>Raw_Data!C519</f>
        <v>Almacén</v>
      </c>
      <c r="C519" s="2" t="str">
        <f>Raw_Data!D519</f>
        <v>Fulfillment Associate</v>
      </c>
      <c r="D519" s="2">
        <f>Raw_Data!F519</f>
        <v>17.399999999999999</v>
      </c>
      <c r="E519" s="2" t="str">
        <f>Raw_Data!H519</f>
        <v>HOURLY</v>
      </c>
      <c r="F519" s="2">
        <f>Raw_Data!I519</f>
        <v>89</v>
      </c>
      <c r="G519" s="13">
        <f>D519*INDEX(Multiplier_Lookup!$C$6:$C$9,MATCH(E519,Multiplier_Lookup!$B$6:$B$9,0))</f>
        <v>36192</v>
      </c>
      <c r="H519" s="2" t="str">
        <f t="shared" si="8"/>
        <v>Lowe's Home Improvement|Fulfillment Associate</v>
      </c>
    </row>
    <row r="520" spans="1:8" x14ac:dyDescent="0.35">
      <c r="A520" s="2" t="str">
        <f>Raw_Data!A520</f>
        <v>Lowe's Home Improvement</v>
      </c>
      <c r="B520" s="2" t="str">
        <f>Raw_Data!C520</f>
        <v>Almacén</v>
      </c>
      <c r="C520" s="2" t="str">
        <f>Raw_Data!D520</f>
        <v>Stocker/Receiver</v>
      </c>
      <c r="D520" s="2">
        <f>Raw_Data!F520</f>
        <v>17.22</v>
      </c>
      <c r="E520" s="2" t="str">
        <f>Raw_Data!H520</f>
        <v>HOURLY</v>
      </c>
      <c r="F520" s="2">
        <f>Raw_Data!I520</f>
        <v>130</v>
      </c>
      <c r="G520" s="13">
        <f>D520*INDEX(Multiplier_Lookup!$C$6:$C$9,MATCH(E520,Multiplier_Lookup!$B$6:$B$9,0))</f>
        <v>35817.599999999999</v>
      </c>
      <c r="H520" s="2" t="str">
        <f t="shared" si="8"/>
        <v>Lowe's Home Improvement|Stocker/Receiver</v>
      </c>
    </row>
    <row r="521" spans="1:8" x14ac:dyDescent="0.35">
      <c r="A521" s="2" t="str">
        <f>Raw_Data!A521</f>
        <v>Lowe's Home Improvement</v>
      </c>
      <c r="B521" s="2" t="str">
        <f>Raw_Data!C521</f>
        <v>Almacén</v>
      </c>
      <c r="C521" s="2" t="str">
        <f>Raw_Data!D521</f>
        <v>Warehouse Associate</v>
      </c>
      <c r="D521" s="2">
        <f>Raw_Data!F521</f>
        <v>17.559999999999999</v>
      </c>
      <c r="E521" s="2" t="str">
        <f>Raw_Data!H521</f>
        <v>HOURLY</v>
      </c>
      <c r="F521" s="2">
        <f>Raw_Data!I521</f>
        <v>21</v>
      </c>
      <c r="G521" s="13">
        <f>D521*INDEX(Multiplier_Lookup!$C$6:$C$9,MATCH(E521,Multiplier_Lookup!$B$6:$B$9,0))</f>
        <v>36524.799999999996</v>
      </c>
      <c r="H521" s="2" t="str">
        <f t="shared" si="8"/>
        <v>Lowe's Home Improvement|Warehouse Associate</v>
      </c>
    </row>
    <row r="522" spans="1:8" x14ac:dyDescent="0.35">
      <c r="A522" s="2" t="str">
        <f>Raw_Data!A522</f>
        <v>Macy's</v>
      </c>
      <c r="B522" s="2" t="str">
        <f>Raw_Data!C522</f>
        <v>Management</v>
      </c>
      <c r="C522" s="2" t="str">
        <f>Raw_Data!D522</f>
        <v>Captain</v>
      </c>
      <c r="D522" s="2">
        <f>Raw_Data!F522</f>
        <v>19.670000000000002</v>
      </c>
      <c r="E522" s="2" t="str">
        <f>Raw_Data!H522</f>
        <v>HOURLY</v>
      </c>
      <c r="F522" s="2">
        <f>Raw_Data!I522</f>
        <v>42</v>
      </c>
      <c r="G522" s="13">
        <f>D522*INDEX(Multiplier_Lookup!$C$6:$C$9,MATCH(E522,Multiplier_Lookup!$B$6:$B$9,0))</f>
        <v>40913.600000000006</v>
      </c>
      <c r="H522" s="2" t="str">
        <f t="shared" si="8"/>
        <v>Macy's|Captain</v>
      </c>
    </row>
    <row r="523" spans="1:8" x14ac:dyDescent="0.35">
      <c r="A523" s="2" t="str">
        <f>Raw_Data!A523</f>
        <v>Macy's</v>
      </c>
      <c r="B523" s="2" t="str">
        <f>Raw_Data!C523</f>
        <v>Management</v>
      </c>
      <c r="C523" s="2" t="str">
        <f>Raw_Data!D523</f>
        <v>Manager</v>
      </c>
      <c r="D523" s="2">
        <f>Raw_Data!F523</f>
        <v>63909</v>
      </c>
      <c r="E523" s="2" t="str">
        <f>Raw_Data!H523</f>
        <v>YEARLY</v>
      </c>
      <c r="F523" s="2">
        <f>Raw_Data!I523</f>
        <v>38</v>
      </c>
      <c r="G523" s="13">
        <f>D523*INDEX(Multiplier_Lookup!$C$6:$C$9,MATCH(E523,Multiplier_Lookup!$B$6:$B$9,0))</f>
        <v>63909</v>
      </c>
      <c r="H523" s="2" t="str">
        <f t="shared" si="8"/>
        <v>Macy's|Manager</v>
      </c>
    </row>
    <row r="524" spans="1:8" x14ac:dyDescent="0.35">
      <c r="A524" s="2" t="str">
        <f>Raw_Data!A524</f>
        <v>Macy's</v>
      </c>
      <c r="B524" s="2" t="str">
        <f>Raw_Data!C524</f>
        <v>Management</v>
      </c>
      <c r="C524" s="2" t="str">
        <f>Raw_Data!D524</f>
        <v>Commissioner</v>
      </c>
      <c r="D524" s="2">
        <f>Raw_Data!F524</f>
        <v>18.62</v>
      </c>
      <c r="E524" s="2" t="str">
        <f>Raw_Data!H524</f>
        <v>HOURLY</v>
      </c>
      <c r="F524" s="2">
        <f>Raw_Data!I524</f>
        <v>8</v>
      </c>
      <c r="G524" s="13">
        <f>D524*INDEX(Multiplier_Lookup!$C$6:$C$9,MATCH(E524,Multiplier_Lookup!$B$6:$B$9,0))</f>
        <v>38729.599999999999</v>
      </c>
      <c r="H524" s="2" t="str">
        <f t="shared" si="8"/>
        <v>Macy's|Commissioner</v>
      </c>
    </row>
    <row r="525" spans="1:8" x14ac:dyDescent="0.35">
      <c r="A525" s="2" t="str">
        <f>Raw_Data!A525</f>
        <v>Macy's</v>
      </c>
      <c r="B525" s="2" t="str">
        <f>Raw_Data!C525</f>
        <v>Management</v>
      </c>
      <c r="C525" s="2" t="str">
        <f>Raw_Data!D525</f>
        <v>Supervisor</v>
      </c>
      <c r="D525" s="2">
        <f>Raw_Data!F525</f>
        <v>22.18</v>
      </c>
      <c r="E525" s="2" t="str">
        <f>Raw_Data!H525</f>
        <v>HOURLY</v>
      </c>
      <c r="F525" s="2">
        <f>Raw_Data!I525</f>
        <v>8</v>
      </c>
      <c r="G525" s="13">
        <f>D525*INDEX(Multiplier_Lookup!$C$6:$C$9,MATCH(E525,Multiplier_Lookup!$B$6:$B$9,0))</f>
        <v>46134.400000000001</v>
      </c>
      <c r="H525" s="2" t="str">
        <f t="shared" si="8"/>
        <v>Macy's|Supervisor</v>
      </c>
    </row>
    <row r="526" spans="1:8" x14ac:dyDescent="0.35">
      <c r="A526" s="2" t="str">
        <f>Raw_Data!A526</f>
        <v>Macy's</v>
      </c>
      <c r="B526" s="2" t="str">
        <f>Raw_Data!C526</f>
        <v>Management</v>
      </c>
      <c r="C526" s="2" t="str">
        <f>Raw_Data!D526</f>
        <v>Operations Manager</v>
      </c>
      <c r="D526" s="2">
        <f>Raw_Data!F526</f>
        <v>86020</v>
      </c>
      <c r="E526" s="2" t="str">
        <f>Raw_Data!H526</f>
        <v>YEARLY</v>
      </c>
      <c r="F526" s="2">
        <f>Raw_Data!I526</f>
        <v>26</v>
      </c>
      <c r="G526" s="13">
        <f>D526*INDEX(Multiplier_Lookup!$C$6:$C$9,MATCH(E526,Multiplier_Lookup!$B$6:$B$9,0))</f>
        <v>86020</v>
      </c>
      <c r="H526" s="2" t="str">
        <f t="shared" si="8"/>
        <v>Macy's|Operations Manager</v>
      </c>
    </row>
    <row r="527" spans="1:8" x14ac:dyDescent="0.35">
      <c r="A527" s="2" t="str">
        <f>Raw_Data!A527</f>
        <v>Macy's</v>
      </c>
      <c r="B527" s="2" t="str">
        <f>Raw_Data!C527</f>
        <v>Management</v>
      </c>
      <c r="C527" s="2" t="str">
        <f>Raw_Data!D527</f>
        <v>Director</v>
      </c>
      <c r="D527" s="2">
        <f>Raw_Data!F527</f>
        <v>141629</v>
      </c>
      <c r="E527" s="2" t="str">
        <f>Raw_Data!H527</f>
        <v>YEARLY</v>
      </c>
      <c r="F527" s="2">
        <f>Raw_Data!I527</f>
        <v>6</v>
      </c>
      <c r="G527" s="13">
        <f>D527*INDEX(Multiplier_Lookup!$C$6:$C$9,MATCH(E527,Multiplier_Lookup!$B$6:$B$9,0))</f>
        <v>141629</v>
      </c>
      <c r="H527" s="2" t="str">
        <f t="shared" si="8"/>
        <v>Macy's|Director</v>
      </c>
    </row>
    <row r="528" spans="1:8" x14ac:dyDescent="0.35">
      <c r="A528" s="2" t="str">
        <f>Raw_Data!A528</f>
        <v>Macy's</v>
      </c>
      <c r="B528" s="2" t="str">
        <f>Raw_Data!C528</f>
        <v>Management</v>
      </c>
      <c r="C528" s="2" t="str">
        <f>Raw_Data!D528</f>
        <v>Shift Leader</v>
      </c>
      <c r="D528" s="2">
        <f>Raw_Data!F528</f>
        <v>20.100000000000001</v>
      </c>
      <c r="E528" s="2" t="str">
        <f>Raw_Data!H528</f>
        <v>HOURLY</v>
      </c>
      <c r="F528" s="2">
        <f>Raw_Data!I528</f>
        <v>8</v>
      </c>
      <c r="G528" s="13">
        <f>D528*INDEX(Multiplier_Lookup!$C$6:$C$9,MATCH(E528,Multiplier_Lookup!$B$6:$B$9,0))</f>
        <v>41808</v>
      </c>
      <c r="H528" s="2" t="str">
        <f t="shared" si="8"/>
        <v>Macy's|Shift Leader</v>
      </c>
    </row>
    <row r="529" spans="1:8" x14ac:dyDescent="0.35">
      <c r="A529" s="2" t="str">
        <f>Raw_Data!A529</f>
        <v>Macy's</v>
      </c>
      <c r="B529" s="2" t="str">
        <f>Raw_Data!C529</f>
        <v>Management</v>
      </c>
      <c r="C529" s="2" t="str">
        <f>Raw_Data!D529</f>
        <v>Operations Lead</v>
      </c>
      <c r="D529" s="2">
        <f>Raw_Data!F529</f>
        <v>24.65</v>
      </c>
      <c r="E529" s="2" t="str">
        <f>Raw_Data!H529</f>
        <v>HOURLY</v>
      </c>
      <c r="F529" s="2">
        <f>Raw_Data!I529</f>
        <v>12</v>
      </c>
      <c r="G529" s="13">
        <f>D529*INDEX(Multiplier_Lookup!$C$6:$C$9,MATCH(E529,Multiplier_Lookup!$B$6:$B$9,0))</f>
        <v>51272</v>
      </c>
      <c r="H529" s="2" t="str">
        <f t="shared" si="8"/>
        <v>Macy's|Operations Lead</v>
      </c>
    </row>
    <row r="530" spans="1:8" x14ac:dyDescent="0.35">
      <c r="A530" s="2" t="str">
        <f>Raw_Data!A530</f>
        <v>Macy's</v>
      </c>
      <c r="B530" s="2" t="str">
        <f>Raw_Data!C530</f>
        <v>Management</v>
      </c>
      <c r="C530" s="2" t="str">
        <f>Raw_Data!D530</f>
        <v>Entry Level Manager</v>
      </c>
      <c r="D530" s="2">
        <f>Raw_Data!F530</f>
        <v>17.96</v>
      </c>
      <c r="E530" s="2" t="str">
        <f>Raw_Data!H530</f>
        <v>HOURLY</v>
      </c>
      <c r="F530" s="2">
        <f>Raw_Data!I530</f>
        <v>6</v>
      </c>
      <c r="G530" s="13">
        <f>D530*INDEX(Multiplier_Lookup!$C$6:$C$9,MATCH(E530,Multiplier_Lookup!$B$6:$B$9,0))</f>
        <v>37356.800000000003</v>
      </c>
      <c r="H530" s="2" t="str">
        <f t="shared" si="8"/>
        <v>Macy's|Entry Level Manager</v>
      </c>
    </row>
    <row r="531" spans="1:8" x14ac:dyDescent="0.35">
      <c r="A531" s="2" t="str">
        <f>Raw_Data!A531</f>
        <v>Macy's</v>
      </c>
      <c r="B531" s="2" t="str">
        <f>Raw_Data!C531</f>
        <v>Management</v>
      </c>
      <c r="C531" s="2" t="str">
        <f>Raw_Data!D531</f>
        <v>Assistant Supervisor</v>
      </c>
      <c r="D531" s="2">
        <f>Raw_Data!F531</f>
        <v>22.21</v>
      </c>
      <c r="E531" s="2" t="str">
        <f>Raw_Data!H531</f>
        <v>HOURLY</v>
      </c>
      <c r="F531" s="2">
        <f>Raw_Data!I531</f>
        <v>5</v>
      </c>
      <c r="G531" s="13">
        <f>D531*INDEX(Multiplier_Lookup!$C$6:$C$9,MATCH(E531,Multiplier_Lookup!$B$6:$B$9,0))</f>
        <v>46196.800000000003</v>
      </c>
      <c r="H531" s="2" t="str">
        <f t="shared" si="8"/>
        <v>Macy's|Assistant Supervisor</v>
      </c>
    </row>
    <row r="532" spans="1:8" x14ac:dyDescent="0.35">
      <c r="A532" s="2" t="str">
        <f>Raw_Data!A532</f>
        <v>Nordstrom</v>
      </c>
      <c r="B532" s="2" t="str">
        <f>Raw_Data!C532</f>
        <v>Sales</v>
      </c>
      <c r="C532" s="2" t="str">
        <f>Raw_Data!D532</f>
        <v>Counter Manager</v>
      </c>
      <c r="D532" s="2">
        <f>Raw_Data!F532</f>
        <v>24.35</v>
      </c>
      <c r="E532" s="2" t="str">
        <f>Raw_Data!H532</f>
        <v>HOURLY</v>
      </c>
      <c r="F532" s="2">
        <f>Raw_Data!I532</f>
        <v>2634</v>
      </c>
      <c r="G532" s="13">
        <f>D532*INDEX(Multiplier_Lookup!$C$6:$C$9,MATCH(E532,Multiplier_Lookup!$B$6:$B$9,0))</f>
        <v>50648</v>
      </c>
      <c r="H532" s="2" t="str">
        <f t="shared" si="8"/>
        <v>Nordstrom|Counter Manager</v>
      </c>
    </row>
    <row r="533" spans="1:8" x14ac:dyDescent="0.35">
      <c r="A533" s="2" t="str">
        <f>Raw_Data!A533</f>
        <v>Nordstrom</v>
      </c>
      <c r="B533" s="2" t="str">
        <f>Raw_Data!C533</f>
        <v>Sales</v>
      </c>
      <c r="C533" s="2" t="str">
        <f>Raw_Data!D533</f>
        <v>Sales Associate</v>
      </c>
      <c r="D533" s="2">
        <f>Raw_Data!F533</f>
        <v>16.39</v>
      </c>
      <c r="E533" s="2" t="str">
        <f>Raw_Data!H533</f>
        <v>HOURLY</v>
      </c>
      <c r="F533" s="2">
        <f>Raw_Data!I533</f>
        <v>34</v>
      </c>
      <c r="G533" s="13">
        <f>D533*INDEX(Multiplier_Lookup!$C$6:$C$9,MATCH(E533,Multiplier_Lookup!$B$6:$B$9,0))</f>
        <v>34091.200000000004</v>
      </c>
      <c r="H533" s="2" t="str">
        <f t="shared" si="8"/>
        <v>Nordstrom|Sales Associate</v>
      </c>
    </row>
    <row r="534" spans="1:8" x14ac:dyDescent="0.35">
      <c r="A534" s="2" t="str">
        <f>Raw_Data!A534</f>
        <v>Nordstrom</v>
      </c>
      <c r="B534" s="2" t="str">
        <f>Raw_Data!C534</f>
        <v>Sales</v>
      </c>
      <c r="C534" s="2" t="str">
        <f>Raw_Data!D534</f>
        <v>Stylist</v>
      </c>
      <c r="D534" s="2">
        <f>Raw_Data!F534</f>
        <v>20.65</v>
      </c>
      <c r="E534" s="2" t="str">
        <f>Raw_Data!H534</f>
        <v>HOURLY</v>
      </c>
      <c r="F534" s="2">
        <f>Raw_Data!I534</f>
        <v>429</v>
      </c>
      <c r="G534" s="13">
        <f>D534*INDEX(Multiplier_Lookup!$C$6:$C$9,MATCH(E534,Multiplier_Lookup!$B$6:$B$9,0))</f>
        <v>42952</v>
      </c>
      <c r="H534" s="2" t="str">
        <f t="shared" si="8"/>
        <v>Nordstrom|Stylist</v>
      </c>
    </row>
    <row r="535" spans="1:8" x14ac:dyDescent="0.35">
      <c r="A535" s="2" t="str">
        <f>Raw_Data!A535</f>
        <v>Nordstrom</v>
      </c>
      <c r="B535" s="2" t="str">
        <f>Raw_Data!C535</f>
        <v>Sales</v>
      </c>
      <c r="C535" s="2" t="str">
        <f>Raw_Data!D535</f>
        <v>Sales Manager</v>
      </c>
      <c r="D535" s="2">
        <f>Raw_Data!F535</f>
        <v>22.19</v>
      </c>
      <c r="E535" s="2" t="str">
        <f>Raw_Data!H535</f>
        <v>HOURLY</v>
      </c>
      <c r="F535" s="2">
        <f>Raw_Data!I535</f>
        <v>260</v>
      </c>
      <c r="G535" s="13">
        <f>D535*INDEX(Multiplier_Lookup!$C$6:$C$9,MATCH(E535,Multiplier_Lookup!$B$6:$B$9,0))</f>
        <v>46155.200000000004</v>
      </c>
      <c r="H535" s="2" t="str">
        <f t="shared" si="8"/>
        <v>Nordstrom|Sales Manager</v>
      </c>
    </row>
    <row r="536" spans="1:8" x14ac:dyDescent="0.35">
      <c r="A536" s="2" t="str">
        <f>Raw_Data!A536</f>
        <v>Nordstrom</v>
      </c>
      <c r="B536" s="2" t="str">
        <f>Raw_Data!C536</f>
        <v>Sales</v>
      </c>
      <c r="C536" s="2" t="str">
        <f>Raw_Data!D536</f>
        <v>Salesperson</v>
      </c>
      <c r="D536" s="2">
        <f>Raw_Data!F536</f>
        <v>17.59</v>
      </c>
      <c r="E536" s="2" t="str">
        <f>Raw_Data!H536</f>
        <v>HOURLY</v>
      </c>
      <c r="F536" s="2">
        <f>Raw_Data!I536</f>
        <v>113</v>
      </c>
      <c r="G536" s="13">
        <f>D536*INDEX(Multiplier_Lookup!$C$6:$C$9,MATCH(E536,Multiplier_Lookup!$B$6:$B$9,0))</f>
        <v>36587.199999999997</v>
      </c>
      <c r="H536" s="2" t="str">
        <f t="shared" si="8"/>
        <v>Nordstrom|Salesperson</v>
      </c>
    </row>
    <row r="537" spans="1:8" x14ac:dyDescent="0.35">
      <c r="A537" s="2" t="str">
        <f>Raw_Data!A537</f>
        <v>Nordstrom</v>
      </c>
      <c r="B537" s="2" t="str">
        <f>Raw_Data!C537</f>
        <v>Sales</v>
      </c>
      <c r="C537" s="2" t="str">
        <f>Raw_Data!D537</f>
        <v>Sales</v>
      </c>
      <c r="D537" s="2">
        <f>Raw_Data!F537</f>
        <v>16.79</v>
      </c>
      <c r="E537" s="2" t="str">
        <f>Raw_Data!H537</f>
        <v>HOURLY</v>
      </c>
      <c r="F537" s="2">
        <f>Raw_Data!I537</f>
        <v>35</v>
      </c>
      <c r="G537" s="13">
        <f>D537*INDEX(Multiplier_Lookup!$C$6:$C$9,MATCH(E537,Multiplier_Lookup!$B$6:$B$9,0))</f>
        <v>34923.199999999997</v>
      </c>
      <c r="H537" s="2" t="str">
        <f t="shared" si="8"/>
        <v>Nordstrom|Sales</v>
      </c>
    </row>
    <row r="538" spans="1:8" x14ac:dyDescent="0.35">
      <c r="A538" s="2" t="str">
        <f>Raw_Data!A538</f>
        <v>Nordstrom</v>
      </c>
      <c r="B538" s="2" t="str">
        <f>Raw_Data!C538</f>
        <v>Sales</v>
      </c>
      <c r="C538" s="2" t="str">
        <f>Raw_Data!D538</f>
        <v>Stylist Assistant</v>
      </c>
      <c r="D538" s="2">
        <f>Raw_Data!F538</f>
        <v>23.8</v>
      </c>
      <c r="E538" s="2" t="str">
        <f>Raw_Data!H538</f>
        <v>HOURLY</v>
      </c>
      <c r="F538" s="2">
        <f>Raw_Data!I538</f>
        <v>55</v>
      </c>
      <c r="G538" s="13">
        <f>D538*INDEX(Multiplier_Lookup!$C$6:$C$9,MATCH(E538,Multiplier_Lookup!$B$6:$B$9,0))</f>
        <v>49504</v>
      </c>
      <c r="H538" s="2" t="str">
        <f t="shared" si="8"/>
        <v>Nordstrom|Stylist Assistant</v>
      </c>
    </row>
    <row r="539" spans="1:8" x14ac:dyDescent="0.35">
      <c r="A539" s="2" t="str">
        <f>Raw_Data!A539</f>
        <v>Nordstrom</v>
      </c>
      <c r="B539" s="2" t="str">
        <f>Raw_Data!C539</f>
        <v>Sales</v>
      </c>
      <c r="C539" s="2" t="str">
        <f>Raw_Data!D539</f>
        <v>Collection Agent</v>
      </c>
      <c r="D539" s="2">
        <f>Raw_Data!F539</f>
        <v>14.58</v>
      </c>
      <c r="E539" s="2" t="str">
        <f>Raw_Data!H539</f>
        <v>HOURLY</v>
      </c>
      <c r="F539" s="2">
        <f>Raw_Data!I539</f>
        <v>12</v>
      </c>
      <c r="G539" s="13">
        <f>D539*INDEX(Multiplier_Lookup!$C$6:$C$9,MATCH(E539,Multiplier_Lookup!$B$6:$B$9,0))</f>
        <v>30326.400000000001</v>
      </c>
      <c r="H539" s="2" t="str">
        <f t="shared" si="8"/>
        <v>Nordstrom|Collection Agent</v>
      </c>
    </row>
    <row r="540" spans="1:8" x14ac:dyDescent="0.35">
      <c r="A540" s="2" t="str">
        <f>Raw_Data!A540</f>
        <v>Nordstrom</v>
      </c>
      <c r="B540" s="2" t="str">
        <f>Raw_Data!C540</f>
        <v>Sales</v>
      </c>
      <c r="C540" s="2" t="str">
        <f>Raw_Data!D540</f>
        <v>Sales Representative</v>
      </c>
      <c r="D540" s="2">
        <f>Raw_Data!F540</f>
        <v>16.73</v>
      </c>
      <c r="E540" s="2" t="str">
        <f>Raw_Data!H540</f>
        <v>HOURLY</v>
      </c>
      <c r="F540" s="2">
        <f>Raw_Data!I540</f>
        <v>6</v>
      </c>
      <c r="G540" s="13">
        <f>D540*INDEX(Multiplier_Lookup!$C$6:$C$9,MATCH(E540,Multiplier_Lookup!$B$6:$B$9,0))</f>
        <v>34798.400000000001</v>
      </c>
      <c r="H540" s="2" t="str">
        <f t="shared" si="8"/>
        <v>Nordstrom|Sales Representative</v>
      </c>
    </row>
    <row r="541" spans="1:8" x14ac:dyDescent="0.35">
      <c r="A541" s="2" t="str">
        <f>Raw_Data!A541</f>
        <v>Nordstrom</v>
      </c>
      <c r="B541" s="2" t="str">
        <f>Raw_Data!C541</f>
        <v>Sales</v>
      </c>
      <c r="C541" s="2" t="str">
        <f>Raw_Data!D541</f>
        <v>Fine Jewelry Sales Associate</v>
      </c>
      <c r="D541" s="2">
        <f>Raw_Data!F541</f>
        <v>17.22</v>
      </c>
      <c r="E541" s="2" t="str">
        <f>Raw_Data!H541</f>
        <v>HOURLY</v>
      </c>
      <c r="F541" s="2">
        <f>Raw_Data!I541</f>
        <v>8</v>
      </c>
      <c r="G541" s="13">
        <f>D541*INDEX(Multiplier_Lookup!$C$6:$C$9,MATCH(E541,Multiplier_Lookup!$B$6:$B$9,0))</f>
        <v>35817.599999999999</v>
      </c>
      <c r="H541" s="2" t="str">
        <f t="shared" si="8"/>
        <v>Nordstrom|Fine Jewelry Sales Associate</v>
      </c>
    </row>
    <row r="542" spans="1:8" x14ac:dyDescent="0.35">
      <c r="A542" s="2" t="str">
        <f>Raw_Data!A542</f>
        <v>Kohl's</v>
      </c>
      <c r="B542" s="2" t="str">
        <f>Raw_Data!C542</f>
        <v>Management</v>
      </c>
      <c r="C542" s="2" t="str">
        <f>Raw_Data!D542</f>
        <v>Operations Supervisor</v>
      </c>
      <c r="D542" s="2">
        <f>Raw_Data!F542</f>
        <v>72811</v>
      </c>
      <c r="E542" s="2" t="str">
        <f>Raw_Data!H542</f>
        <v>YEARLY</v>
      </c>
      <c r="F542" s="2">
        <f>Raw_Data!I542</f>
        <v>2</v>
      </c>
      <c r="G542" s="13">
        <f>D542*INDEX(Multiplier_Lookup!$C$6:$C$9,MATCH(E542,Multiplier_Lookup!$B$6:$B$9,0))</f>
        <v>72811</v>
      </c>
      <c r="H542" s="2" t="str">
        <f t="shared" si="8"/>
        <v>Kohl's|Operations Supervisor</v>
      </c>
    </row>
    <row r="543" spans="1:8" x14ac:dyDescent="0.35">
      <c r="A543" s="2" t="str">
        <f>Raw_Data!A543</f>
        <v>Kohl's</v>
      </c>
      <c r="B543" s="2" t="str">
        <f>Raw_Data!C543</f>
        <v>Management</v>
      </c>
      <c r="C543" s="2" t="str">
        <f>Raw_Data!D543</f>
        <v>Sourcing Manager</v>
      </c>
      <c r="D543" s="2">
        <f>Raw_Data!F543</f>
        <v>71928</v>
      </c>
      <c r="E543" s="2" t="str">
        <f>Raw_Data!H543</f>
        <v>YEARLY</v>
      </c>
      <c r="F543" s="2">
        <f>Raw_Data!I543</f>
        <v>8</v>
      </c>
      <c r="G543" s="13">
        <f>D543*INDEX(Multiplier_Lookup!$C$6:$C$9,MATCH(E543,Multiplier_Lookup!$B$6:$B$9,0))</f>
        <v>71928</v>
      </c>
      <c r="H543" s="2" t="str">
        <f t="shared" si="8"/>
        <v>Kohl's|Sourcing Manager</v>
      </c>
    </row>
    <row r="544" spans="1:8" x14ac:dyDescent="0.35">
      <c r="A544" s="2" t="str">
        <f>Raw_Data!A544</f>
        <v>Kohl's</v>
      </c>
      <c r="B544" s="2" t="str">
        <f>Raw_Data!C544</f>
        <v>Management</v>
      </c>
      <c r="C544" s="2" t="str">
        <f>Raw_Data!D544</f>
        <v>Manager</v>
      </c>
      <c r="D544" s="2">
        <f>Raw_Data!F544</f>
        <v>103066</v>
      </c>
      <c r="E544" s="2" t="str">
        <f>Raw_Data!H544</f>
        <v>YEARLY</v>
      </c>
      <c r="F544" s="2">
        <f>Raw_Data!I544</f>
        <v>6</v>
      </c>
      <c r="G544" s="13">
        <f>D544*INDEX(Multiplier_Lookup!$C$6:$C$9,MATCH(E544,Multiplier_Lookup!$B$6:$B$9,0))</f>
        <v>103066</v>
      </c>
      <c r="H544" s="2" t="str">
        <f t="shared" si="8"/>
        <v>Kohl's|Manager</v>
      </c>
    </row>
    <row r="545" spans="1:8" x14ac:dyDescent="0.35">
      <c r="A545" s="2" t="str">
        <f>Raw_Data!A545</f>
        <v>Kohl's</v>
      </c>
      <c r="B545" s="2" t="str">
        <f>Raw_Data!C545</f>
        <v>Management</v>
      </c>
      <c r="C545" s="2" t="str">
        <f>Raw_Data!D545</f>
        <v>Senior Manager</v>
      </c>
      <c r="D545" s="2">
        <f>Raw_Data!F545</f>
        <v>129873</v>
      </c>
      <c r="E545" s="2" t="str">
        <f>Raw_Data!H545</f>
        <v>YEARLY</v>
      </c>
      <c r="F545" s="2">
        <f>Raw_Data!I545</f>
        <v>8</v>
      </c>
      <c r="G545" s="13">
        <f>D545*INDEX(Multiplier_Lookup!$C$6:$C$9,MATCH(E545,Multiplier_Lookup!$B$6:$B$9,0))</f>
        <v>129873</v>
      </c>
      <c r="H545" s="2" t="str">
        <f t="shared" si="8"/>
        <v>Kohl's|Senior Manager</v>
      </c>
    </row>
    <row r="546" spans="1:8" x14ac:dyDescent="0.35">
      <c r="A546" s="2" t="str">
        <f>Raw_Data!A546</f>
        <v>Kohl's</v>
      </c>
      <c r="B546" s="2" t="str">
        <f>Raw_Data!C546</f>
        <v>Management</v>
      </c>
      <c r="C546" s="2" t="str">
        <f>Raw_Data!D546</f>
        <v>Area Supervisor</v>
      </c>
      <c r="D546" s="2">
        <f>Raw_Data!F546</f>
        <v>20.41</v>
      </c>
      <c r="E546" s="2" t="str">
        <f>Raw_Data!H546</f>
        <v>HOURLY</v>
      </c>
      <c r="F546" s="2">
        <f>Raw_Data!I546</f>
        <v>7</v>
      </c>
      <c r="G546" s="13">
        <f>D546*INDEX(Multiplier_Lookup!$C$6:$C$9,MATCH(E546,Multiplier_Lookup!$B$6:$B$9,0))</f>
        <v>42452.800000000003</v>
      </c>
      <c r="H546" s="2" t="str">
        <f t="shared" si="8"/>
        <v>Kohl's|Area Supervisor</v>
      </c>
    </row>
    <row r="547" spans="1:8" x14ac:dyDescent="0.35">
      <c r="A547" s="2" t="str">
        <f>Raw_Data!A547</f>
        <v>Kohl's</v>
      </c>
      <c r="B547" s="2" t="str">
        <f>Raw_Data!C547</f>
        <v>Management</v>
      </c>
      <c r="C547" s="2" t="str">
        <f>Raw_Data!D547</f>
        <v>Product Development Manager</v>
      </c>
      <c r="D547" s="2">
        <f>Raw_Data!F547</f>
        <v>55373</v>
      </c>
      <c r="E547" s="2" t="str">
        <f>Raw_Data!H547</f>
        <v>YEARLY</v>
      </c>
      <c r="F547" s="2">
        <f>Raw_Data!I547</f>
        <v>5</v>
      </c>
      <c r="G547" s="13">
        <f>D547*INDEX(Multiplier_Lookup!$C$6:$C$9,MATCH(E547,Multiplier_Lookup!$B$6:$B$9,0))</f>
        <v>55373</v>
      </c>
      <c r="H547" s="2" t="str">
        <f t="shared" si="8"/>
        <v>Kohl's|Product Development Manager</v>
      </c>
    </row>
    <row r="548" spans="1:8" x14ac:dyDescent="0.35">
      <c r="A548" s="2" t="str">
        <f>Raw_Data!A548</f>
        <v>Kohl's</v>
      </c>
      <c r="B548" s="2" t="str">
        <f>Raw_Data!C548</f>
        <v>Management</v>
      </c>
      <c r="C548" s="2" t="str">
        <f>Raw_Data!D548</f>
        <v>Shift Leader</v>
      </c>
      <c r="D548" s="2">
        <f>Raw_Data!F548</f>
        <v>82605</v>
      </c>
      <c r="E548" s="2" t="str">
        <f>Raw_Data!H548</f>
        <v>YEARLY</v>
      </c>
      <c r="F548" s="2">
        <f>Raw_Data!I548</f>
        <v>4</v>
      </c>
      <c r="G548" s="13">
        <f>D548*INDEX(Multiplier_Lookup!$C$6:$C$9,MATCH(E548,Multiplier_Lookup!$B$6:$B$9,0))</f>
        <v>82605</v>
      </c>
      <c r="H548" s="2" t="str">
        <f t="shared" si="8"/>
        <v>Kohl's|Shift Leader</v>
      </c>
    </row>
    <row r="549" spans="1:8" x14ac:dyDescent="0.35">
      <c r="A549" s="2" t="str">
        <f>Raw_Data!A549</f>
        <v>Kohl's</v>
      </c>
      <c r="B549" s="2" t="str">
        <f>Raw_Data!C549</f>
        <v>Management</v>
      </c>
      <c r="C549" s="2" t="str">
        <f>Raw_Data!D549</f>
        <v>Store Planner</v>
      </c>
      <c r="D549" s="2">
        <f>Raw_Data!F549</f>
        <v>60445</v>
      </c>
      <c r="E549" s="2" t="str">
        <f>Raw_Data!H549</f>
        <v>YEARLY</v>
      </c>
      <c r="F549" s="2">
        <f>Raw_Data!I549</f>
        <v>3</v>
      </c>
      <c r="G549" s="13">
        <f>D549*INDEX(Multiplier_Lookup!$C$6:$C$9,MATCH(E549,Multiplier_Lookup!$B$6:$B$9,0))</f>
        <v>60445</v>
      </c>
      <c r="H549" s="2" t="str">
        <f t="shared" si="8"/>
        <v>Kohl's|Store Planner</v>
      </c>
    </row>
    <row r="550" spans="1:8" x14ac:dyDescent="0.35">
      <c r="A550" s="2" t="str">
        <f>Raw_Data!A550</f>
        <v>Kohl's</v>
      </c>
      <c r="B550" s="2" t="str">
        <f>Raw_Data!C550</f>
        <v>Management</v>
      </c>
      <c r="C550" s="2" t="str">
        <f>Raw_Data!D550</f>
        <v>Management Trainee</v>
      </c>
      <c r="D550" s="2">
        <f>Raw_Data!F550</f>
        <v>49000</v>
      </c>
      <c r="E550" s="2" t="str">
        <f>Raw_Data!H550</f>
        <v>YEARLY</v>
      </c>
      <c r="F550" s="2">
        <f>Raw_Data!I550</f>
        <v>2</v>
      </c>
      <c r="G550" s="13">
        <f>D550*INDEX(Multiplier_Lookup!$C$6:$C$9,MATCH(E550,Multiplier_Lookup!$B$6:$B$9,0))</f>
        <v>49000</v>
      </c>
      <c r="H550" s="2" t="str">
        <f t="shared" si="8"/>
        <v>Kohl's|Management Trainee</v>
      </c>
    </row>
    <row r="551" spans="1:8" x14ac:dyDescent="0.35">
      <c r="A551" s="2" t="str">
        <f>Raw_Data!A551</f>
        <v>Kohl's</v>
      </c>
      <c r="B551" s="2" t="str">
        <f>Raw_Data!C551</f>
        <v>Management</v>
      </c>
      <c r="C551" s="2" t="str">
        <f>Raw_Data!D551</f>
        <v>Operations Manager</v>
      </c>
      <c r="D551" s="2">
        <f>Raw_Data!F551</f>
        <v>86621</v>
      </c>
      <c r="E551" s="2" t="str">
        <f>Raw_Data!H551</f>
        <v>YEARLY</v>
      </c>
      <c r="F551" s="2">
        <f>Raw_Data!I551</f>
        <v>1</v>
      </c>
      <c r="G551" s="13">
        <f>D551*INDEX(Multiplier_Lookup!$C$6:$C$9,MATCH(E551,Multiplier_Lookup!$B$6:$B$9,0))</f>
        <v>86621</v>
      </c>
      <c r="H551" s="2" t="str">
        <f t="shared" si="8"/>
        <v>Kohl's|Operations Manager</v>
      </c>
    </row>
    <row r="552" spans="1:8" x14ac:dyDescent="0.35">
      <c r="A552" s="2" t="str">
        <f>Raw_Data!A552</f>
        <v>Dollar Tree</v>
      </c>
      <c r="B552" s="2" t="str">
        <f>Raw_Data!C552</f>
        <v>Management</v>
      </c>
      <c r="C552" s="2" t="str">
        <f>Raw_Data!D552</f>
        <v>Assistant Manager</v>
      </c>
      <c r="D552" s="2">
        <f>Raw_Data!F552</f>
        <v>14.3</v>
      </c>
      <c r="E552" s="2" t="str">
        <f>Raw_Data!H552</f>
        <v>HOURLY</v>
      </c>
      <c r="F552" s="2">
        <f>Raw_Data!I552</f>
        <v>6</v>
      </c>
      <c r="G552" s="13">
        <f>D552*INDEX(Multiplier_Lookup!$C$6:$C$9,MATCH(E552,Multiplier_Lookup!$B$6:$B$9,0))</f>
        <v>29744</v>
      </c>
      <c r="H552" s="2" t="str">
        <f t="shared" si="8"/>
        <v>Dollar Tree|Assistant Manager</v>
      </c>
    </row>
    <row r="553" spans="1:8" x14ac:dyDescent="0.35">
      <c r="A553" s="2" t="str">
        <f>Raw_Data!A553</f>
        <v>Dollar Tree</v>
      </c>
      <c r="B553" s="2" t="str">
        <f>Raw_Data!C553</f>
        <v>Management</v>
      </c>
      <c r="C553" s="2" t="str">
        <f>Raw_Data!D553</f>
        <v>Department Manager</v>
      </c>
      <c r="D553" s="2">
        <f>Raw_Data!F553</f>
        <v>59802</v>
      </c>
      <c r="E553" s="2" t="str">
        <f>Raw_Data!H553</f>
        <v>YEARLY</v>
      </c>
      <c r="F553" s="2">
        <f>Raw_Data!I553</f>
        <v>6</v>
      </c>
      <c r="G553" s="13">
        <f>D553*INDEX(Multiplier_Lookup!$C$6:$C$9,MATCH(E553,Multiplier_Lookup!$B$6:$B$9,0))</f>
        <v>59802</v>
      </c>
      <c r="H553" s="2" t="str">
        <f t="shared" si="8"/>
        <v>Dollar Tree|Department Manager</v>
      </c>
    </row>
    <row r="554" spans="1:8" x14ac:dyDescent="0.35">
      <c r="A554" s="2" t="str">
        <f>Raw_Data!A554</f>
        <v>Dollar Tree</v>
      </c>
      <c r="B554" s="2" t="str">
        <f>Raw_Data!C554</f>
        <v>Management</v>
      </c>
      <c r="C554" s="2" t="str">
        <f>Raw_Data!D554</f>
        <v>District Manager</v>
      </c>
      <c r="D554" s="2">
        <f>Raw_Data!F554</f>
        <v>90542</v>
      </c>
      <c r="E554" s="2" t="str">
        <f>Raw_Data!H554</f>
        <v>YEARLY</v>
      </c>
      <c r="F554" s="2">
        <f>Raw_Data!I554</f>
        <v>4</v>
      </c>
      <c r="G554" s="13">
        <f>D554*INDEX(Multiplier_Lookup!$C$6:$C$9,MATCH(E554,Multiplier_Lookup!$B$6:$B$9,0))</f>
        <v>90542</v>
      </c>
      <c r="H554" s="2" t="str">
        <f t="shared" si="8"/>
        <v>Dollar Tree|District Manager</v>
      </c>
    </row>
    <row r="555" spans="1:8" x14ac:dyDescent="0.35">
      <c r="A555" s="2" t="str">
        <f>Raw_Data!A555</f>
        <v>Dollar Tree</v>
      </c>
      <c r="B555" s="2" t="str">
        <f>Raw_Data!C555</f>
        <v>Management</v>
      </c>
      <c r="C555" s="2" t="str">
        <f>Raw_Data!D555</f>
        <v>Freight Manager</v>
      </c>
      <c r="D555" s="2">
        <f>Raw_Data!F555</f>
        <v>15.25</v>
      </c>
      <c r="E555" s="2" t="str">
        <f>Raw_Data!H555</f>
        <v>HOURLY</v>
      </c>
      <c r="F555" s="2">
        <f>Raw_Data!I555</f>
        <v>3</v>
      </c>
      <c r="G555" s="13">
        <f>D555*INDEX(Multiplier_Lookup!$C$6:$C$9,MATCH(E555,Multiplier_Lookup!$B$6:$B$9,0))</f>
        <v>31720</v>
      </c>
      <c r="H555" s="2" t="str">
        <f t="shared" si="8"/>
        <v>Dollar Tree|Freight Manager</v>
      </c>
    </row>
    <row r="556" spans="1:8" x14ac:dyDescent="0.35">
      <c r="A556" s="2" t="str">
        <f>Raw_Data!A556</f>
        <v>Dollar Tree</v>
      </c>
      <c r="B556" s="2" t="str">
        <f>Raw_Data!C556</f>
        <v>Management</v>
      </c>
      <c r="C556" s="2" t="str">
        <f>Raw_Data!D556</f>
        <v>Director</v>
      </c>
      <c r="D556" s="2">
        <f>Raw_Data!F556</f>
        <v>158211</v>
      </c>
      <c r="E556" s="2" t="str">
        <f>Raw_Data!H556</f>
        <v>YEARLY</v>
      </c>
      <c r="F556" s="2">
        <f>Raw_Data!I556</f>
        <v>3</v>
      </c>
      <c r="G556" s="13">
        <f>D556*INDEX(Multiplier_Lookup!$C$6:$C$9,MATCH(E556,Multiplier_Lookup!$B$6:$B$9,0))</f>
        <v>158211</v>
      </c>
      <c r="H556" s="2" t="str">
        <f t="shared" si="8"/>
        <v>Dollar Tree|Director</v>
      </c>
    </row>
    <row r="557" spans="1:8" x14ac:dyDescent="0.35">
      <c r="A557" s="2" t="str">
        <f>Raw_Data!A557</f>
        <v>Dollar Tree</v>
      </c>
      <c r="B557" s="2" t="str">
        <f>Raw_Data!C557</f>
        <v>Management</v>
      </c>
      <c r="C557" s="2" t="str">
        <f>Raw_Data!D557</f>
        <v>Manager</v>
      </c>
      <c r="D557" s="2">
        <f>Raw_Data!F557</f>
        <v>9</v>
      </c>
      <c r="E557" s="2" t="str">
        <f>Raw_Data!H557</f>
        <v>HOURLY</v>
      </c>
      <c r="F557" s="2">
        <f>Raw_Data!I557</f>
        <v>1</v>
      </c>
      <c r="G557" s="13">
        <f>D557*INDEX(Multiplier_Lookup!$C$6:$C$9,MATCH(E557,Multiplier_Lookup!$B$6:$B$9,0))</f>
        <v>18720</v>
      </c>
      <c r="H557" s="2" t="str">
        <f t="shared" si="8"/>
        <v>Dollar Tree|Manager</v>
      </c>
    </row>
    <row r="558" spans="1:8" x14ac:dyDescent="0.35">
      <c r="A558" s="2" t="str">
        <f>Raw_Data!A558</f>
        <v>Dollar Tree</v>
      </c>
      <c r="B558" s="2" t="str">
        <f>Raw_Data!C558</f>
        <v>Management</v>
      </c>
      <c r="C558" s="2" t="str">
        <f>Raw_Data!D558</f>
        <v>Distribution Manager</v>
      </c>
      <c r="D558" s="2">
        <f>Raw_Data!F558</f>
        <v>30.76</v>
      </c>
      <c r="E558" s="2" t="str">
        <f>Raw_Data!H558</f>
        <v>HOURLY</v>
      </c>
      <c r="F558" s="2">
        <f>Raw_Data!I558</f>
        <v>1</v>
      </c>
      <c r="G558" s="13">
        <f>D558*INDEX(Multiplier_Lookup!$C$6:$C$9,MATCH(E558,Multiplier_Lookup!$B$6:$B$9,0))</f>
        <v>63980.800000000003</v>
      </c>
      <c r="H558" s="2" t="str">
        <f t="shared" si="8"/>
        <v>Dollar Tree|Distribution Manager</v>
      </c>
    </row>
    <row r="559" spans="1:8" x14ac:dyDescent="0.35">
      <c r="A559" s="2" t="str">
        <f>Raw_Data!A559</f>
        <v>Dollar Tree</v>
      </c>
      <c r="B559" s="2" t="str">
        <f>Raw_Data!C559</f>
        <v>Management</v>
      </c>
      <c r="C559" s="2" t="str">
        <f>Raw_Data!D559</f>
        <v>Associate Manager</v>
      </c>
      <c r="D559" s="2">
        <f>Raw_Data!F559</f>
        <v>13.49</v>
      </c>
      <c r="E559" s="2" t="str">
        <f>Raw_Data!H559</f>
        <v>HOURLY</v>
      </c>
      <c r="F559" s="2">
        <f>Raw_Data!I559</f>
        <v>1</v>
      </c>
      <c r="G559" s="13">
        <f>D559*INDEX(Multiplier_Lookup!$C$6:$C$9,MATCH(E559,Multiplier_Lookup!$B$6:$B$9,0))</f>
        <v>28059.200000000001</v>
      </c>
      <c r="H559" s="2" t="str">
        <f t="shared" si="8"/>
        <v>Dollar Tree|Associate Manager</v>
      </c>
    </row>
    <row r="560" spans="1:8" x14ac:dyDescent="0.35">
      <c r="A560" s="2" t="str">
        <f>Raw_Data!A560</f>
        <v>Dollar Tree</v>
      </c>
      <c r="B560" s="2" t="str">
        <f>Raw_Data!C560</f>
        <v>Management</v>
      </c>
      <c r="C560" s="2" t="str">
        <f>Raw_Data!D560</f>
        <v>Assistant Operations Manager</v>
      </c>
      <c r="D560" s="2">
        <f>Raw_Data!F560</f>
        <v>13.49</v>
      </c>
      <c r="E560" s="2" t="str">
        <f>Raw_Data!H560</f>
        <v>HOURLY</v>
      </c>
      <c r="F560" s="2">
        <f>Raw_Data!I560</f>
        <v>1</v>
      </c>
      <c r="G560" s="13">
        <f>D560*INDEX(Multiplier_Lookup!$C$6:$C$9,MATCH(E560,Multiplier_Lookup!$B$6:$B$9,0))</f>
        <v>28059.200000000001</v>
      </c>
      <c r="H560" s="2" t="str">
        <f t="shared" si="8"/>
        <v>Dollar Tree|Assistant Operations Manager</v>
      </c>
    </row>
    <row r="561" spans="1:8" x14ac:dyDescent="0.35">
      <c r="A561" s="2" t="str">
        <f>Raw_Data!A561</f>
        <v>Dollar Tree</v>
      </c>
      <c r="B561" s="2" t="str">
        <f>Raw_Data!C561</f>
        <v>Administrative Assistance</v>
      </c>
      <c r="C561" s="2" t="str">
        <f>Raw_Data!D561</f>
        <v>Planner</v>
      </c>
      <c r="D561" s="2">
        <f>Raw_Data!F561</f>
        <v>67305</v>
      </c>
      <c r="E561" s="2" t="str">
        <f>Raw_Data!H561</f>
        <v>YEARLY</v>
      </c>
      <c r="F561" s="2">
        <f>Raw_Data!I561</f>
        <v>9</v>
      </c>
      <c r="G561" s="13">
        <f>D561*INDEX(Multiplier_Lookup!$C$6:$C$9,MATCH(E561,Multiplier_Lookup!$B$6:$B$9,0))</f>
        <v>67305</v>
      </c>
      <c r="H561" s="2" t="str">
        <f t="shared" si="8"/>
        <v>Dollar Tree|Planner</v>
      </c>
    </row>
    <row r="562" spans="1:8" x14ac:dyDescent="0.35">
      <c r="A562" s="2" t="str">
        <f>Raw_Data!A562</f>
        <v>7-Eleven</v>
      </c>
      <c r="B562" s="2" t="str">
        <f>Raw_Data!C562</f>
        <v>Management</v>
      </c>
      <c r="C562" s="2" t="str">
        <f>Raw_Data!D562</f>
        <v>Assistant Manager</v>
      </c>
      <c r="D562" s="2">
        <f>Raw_Data!F562</f>
        <v>17.440000000000001</v>
      </c>
      <c r="E562" s="2" t="str">
        <f>Raw_Data!H562</f>
        <v>HOURLY</v>
      </c>
      <c r="F562" s="2">
        <f>Raw_Data!I562</f>
        <v>113</v>
      </c>
      <c r="G562" s="13">
        <f>D562*INDEX(Multiplier_Lookup!$C$6:$C$9,MATCH(E562,Multiplier_Lookup!$B$6:$B$9,0))</f>
        <v>36275.200000000004</v>
      </c>
      <c r="H562" s="2" t="str">
        <f t="shared" si="8"/>
        <v>7-Eleven|Assistant Manager</v>
      </c>
    </row>
    <row r="563" spans="1:8" x14ac:dyDescent="0.35">
      <c r="A563" s="2" t="str">
        <f>Raw_Data!A563</f>
        <v>7-Eleven</v>
      </c>
      <c r="B563" s="2" t="str">
        <f>Raw_Data!C563</f>
        <v>Management</v>
      </c>
      <c r="C563" s="2" t="str">
        <f>Raw_Data!D563</f>
        <v>Area Manager</v>
      </c>
      <c r="D563" s="2">
        <f>Raw_Data!F563</f>
        <v>42.69</v>
      </c>
      <c r="E563" s="2" t="str">
        <f>Raw_Data!H563</f>
        <v>HOURLY</v>
      </c>
      <c r="F563" s="2">
        <f>Raw_Data!I563</f>
        <v>9</v>
      </c>
      <c r="G563" s="13">
        <f>D563*INDEX(Multiplier_Lookup!$C$6:$C$9,MATCH(E563,Multiplier_Lookup!$B$6:$B$9,0))</f>
        <v>88795.199999999997</v>
      </c>
      <c r="H563" s="2" t="str">
        <f t="shared" si="8"/>
        <v>7-Eleven|Area Manager</v>
      </c>
    </row>
    <row r="564" spans="1:8" x14ac:dyDescent="0.35">
      <c r="A564" s="2" t="str">
        <f>Raw_Data!A564</f>
        <v>7-Eleven</v>
      </c>
      <c r="B564" s="2" t="str">
        <f>Raw_Data!C564</f>
        <v>Management</v>
      </c>
      <c r="C564" s="2" t="str">
        <f>Raw_Data!D564</f>
        <v>Management Trainee</v>
      </c>
      <c r="D564" s="2">
        <f>Raw_Data!F564</f>
        <v>18.34</v>
      </c>
      <c r="E564" s="2" t="str">
        <f>Raw_Data!H564</f>
        <v>HOURLY</v>
      </c>
      <c r="F564" s="2">
        <f>Raw_Data!I564</f>
        <v>6</v>
      </c>
      <c r="G564" s="13">
        <f>D564*INDEX(Multiplier_Lookup!$C$6:$C$9,MATCH(E564,Multiplier_Lookup!$B$6:$B$9,0))</f>
        <v>38147.199999999997</v>
      </c>
      <c r="H564" s="2" t="str">
        <f t="shared" si="8"/>
        <v>7-Eleven|Management Trainee</v>
      </c>
    </row>
    <row r="565" spans="1:8" x14ac:dyDescent="0.35">
      <c r="A565" s="2" t="str">
        <f>Raw_Data!A565</f>
        <v>7-Eleven</v>
      </c>
      <c r="B565" s="2" t="str">
        <f>Raw_Data!C565</f>
        <v>Management</v>
      </c>
      <c r="C565" s="2" t="str">
        <f>Raw_Data!D565</f>
        <v>Shift Leader</v>
      </c>
      <c r="D565" s="2">
        <f>Raw_Data!F565</f>
        <v>16.59</v>
      </c>
      <c r="E565" s="2" t="str">
        <f>Raw_Data!H565</f>
        <v>HOURLY</v>
      </c>
      <c r="F565" s="2">
        <f>Raw_Data!I565</f>
        <v>22</v>
      </c>
      <c r="G565" s="13">
        <f>D565*INDEX(Multiplier_Lookup!$C$6:$C$9,MATCH(E565,Multiplier_Lookup!$B$6:$B$9,0))</f>
        <v>34507.199999999997</v>
      </c>
      <c r="H565" s="2" t="str">
        <f t="shared" si="8"/>
        <v>7-Eleven|Shift Leader</v>
      </c>
    </row>
    <row r="566" spans="1:8" x14ac:dyDescent="0.35">
      <c r="A566" s="2" t="str">
        <f>Raw_Data!A566</f>
        <v>7-Eleven</v>
      </c>
      <c r="B566" s="2" t="str">
        <f>Raw_Data!C566</f>
        <v>Management</v>
      </c>
      <c r="C566" s="2" t="str">
        <f>Raw_Data!D566</f>
        <v>Regional Manager</v>
      </c>
      <c r="D566" s="2">
        <f>Raw_Data!F566</f>
        <v>95294</v>
      </c>
      <c r="E566" s="2" t="str">
        <f>Raw_Data!H566</f>
        <v>YEARLY</v>
      </c>
      <c r="F566" s="2">
        <f>Raw_Data!I566</f>
        <v>10</v>
      </c>
      <c r="G566" s="13">
        <f>D566*INDEX(Multiplier_Lookup!$C$6:$C$9,MATCH(E566,Multiplier_Lookup!$B$6:$B$9,0))</f>
        <v>95294</v>
      </c>
      <c r="H566" s="2" t="str">
        <f t="shared" si="8"/>
        <v>7-Eleven|Regional Manager</v>
      </c>
    </row>
    <row r="567" spans="1:8" x14ac:dyDescent="0.35">
      <c r="A567" s="2" t="str">
        <f>Raw_Data!A567</f>
        <v>7-Eleven</v>
      </c>
      <c r="B567" s="2" t="str">
        <f>Raw_Data!C567</f>
        <v>Management</v>
      </c>
      <c r="C567" s="2" t="str">
        <f>Raw_Data!D567</f>
        <v>Area Leader</v>
      </c>
      <c r="D567" s="2">
        <f>Raw_Data!F567</f>
        <v>33.35</v>
      </c>
      <c r="E567" s="2" t="str">
        <f>Raw_Data!H567</f>
        <v>HOURLY</v>
      </c>
      <c r="F567" s="2">
        <f>Raw_Data!I567</f>
        <v>2</v>
      </c>
      <c r="G567" s="13">
        <f>D567*INDEX(Multiplier_Lookup!$C$6:$C$9,MATCH(E567,Multiplier_Lookup!$B$6:$B$9,0))</f>
        <v>69368</v>
      </c>
      <c r="H567" s="2" t="str">
        <f t="shared" si="8"/>
        <v>7-Eleven|Area Leader</v>
      </c>
    </row>
    <row r="568" spans="1:8" x14ac:dyDescent="0.35">
      <c r="A568" s="2" t="str">
        <f>Raw_Data!A568</f>
        <v>7-Eleven</v>
      </c>
      <c r="B568" s="2" t="str">
        <f>Raw_Data!C568</f>
        <v>Management</v>
      </c>
      <c r="C568" s="2" t="str">
        <f>Raw_Data!D568</f>
        <v>Category Manager</v>
      </c>
      <c r="D568" s="2">
        <f>Raw_Data!F568</f>
        <v>75395</v>
      </c>
      <c r="E568" s="2" t="str">
        <f>Raw_Data!H568</f>
        <v>YEARLY</v>
      </c>
      <c r="F568" s="2">
        <f>Raw_Data!I568</f>
        <v>11</v>
      </c>
      <c r="G568" s="13">
        <f>D568*INDEX(Multiplier_Lookup!$C$6:$C$9,MATCH(E568,Multiplier_Lookup!$B$6:$B$9,0))</f>
        <v>75395</v>
      </c>
      <c r="H568" s="2" t="str">
        <f t="shared" si="8"/>
        <v>7-Eleven|Category Manager</v>
      </c>
    </row>
    <row r="569" spans="1:8" x14ac:dyDescent="0.35">
      <c r="A569" s="2" t="str">
        <f>Raw_Data!A569</f>
        <v>7-Eleven</v>
      </c>
      <c r="B569" s="2" t="str">
        <f>Raw_Data!C569</f>
        <v>Management</v>
      </c>
      <c r="C569" s="2" t="str">
        <f>Raw_Data!D569</f>
        <v>Shift Manager</v>
      </c>
      <c r="D569" s="2">
        <f>Raw_Data!F569</f>
        <v>15</v>
      </c>
      <c r="E569" s="2" t="str">
        <f>Raw_Data!H569</f>
        <v>HOURLY</v>
      </c>
      <c r="F569" s="2">
        <f>Raw_Data!I569</f>
        <v>10</v>
      </c>
      <c r="G569" s="13">
        <f>D569*INDEX(Multiplier_Lookup!$C$6:$C$9,MATCH(E569,Multiplier_Lookup!$B$6:$B$9,0))</f>
        <v>31200</v>
      </c>
      <c r="H569" s="2" t="str">
        <f t="shared" si="8"/>
        <v>7-Eleven|Shift Manager</v>
      </c>
    </row>
    <row r="570" spans="1:8" x14ac:dyDescent="0.35">
      <c r="A570" s="2" t="str">
        <f>Raw_Data!A570</f>
        <v>7-Eleven</v>
      </c>
      <c r="B570" s="2" t="str">
        <f>Raw_Data!C570</f>
        <v>Management</v>
      </c>
      <c r="C570" s="2" t="str">
        <f>Raw_Data!D570</f>
        <v>Multi-unit Manager</v>
      </c>
      <c r="D570" s="2">
        <f>Raw_Data!F570</f>
        <v>116435</v>
      </c>
      <c r="E570" s="2" t="str">
        <f>Raw_Data!H570</f>
        <v>YEARLY</v>
      </c>
      <c r="F570" s="2">
        <f>Raw_Data!I570</f>
        <v>12</v>
      </c>
      <c r="G570" s="13">
        <f>D570*INDEX(Multiplier_Lookup!$C$6:$C$9,MATCH(E570,Multiplier_Lookup!$B$6:$B$9,0))</f>
        <v>116435</v>
      </c>
      <c r="H570" s="2" t="str">
        <f t="shared" si="8"/>
        <v>7-Eleven|Multi-unit Manager</v>
      </c>
    </row>
    <row r="571" spans="1:8" x14ac:dyDescent="0.35">
      <c r="A571" s="2" t="str">
        <f>Raw_Data!A571</f>
        <v>7-Eleven</v>
      </c>
      <c r="B571" s="2" t="str">
        <f>Raw_Data!C571</f>
        <v>Management</v>
      </c>
      <c r="C571" s="2" t="str">
        <f>Raw_Data!D571</f>
        <v>Manager</v>
      </c>
      <c r="D571" s="2">
        <f>Raw_Data!F571</f>
        <v>16.79</v>
      </c>
      <c r="E571" s="2" t="str">
        <f>Raw_Data!H571</f>
        <v>HOURLY</v>
      </c>
      <c r="F571" s="2">
        <f>Raw_Data!I571</f>
        <v>1</v>
      </c>
      <c r="G571" s="13">
        <f>D571*INDEX(Multiplier_Lookup!$C$6:$C$9,MATCH(E571,Multiplier_Lookup!$B$6:$B$9,0))</f>
        <v>34923.199999999997</v>
      </c>
      <c r="H571" s="2" t="str">
        <f t="shared" si="8"/>
        <v>7-Eleven|Manager</v>
      </c>
    </row>
    <row r="572" spans="1:8" x14ac:dyDescent="0.35">
      <c r="A572" s="2" t="str">
        <f>Raw_Data!A572</f>
        <v>Wawa</v>
      </c>
      <c r="B572" s="2" t="str">
        <f>Raw_Data!C572</f>
        <v>Retail</v>
      </c>
      <c r="C572" s="2" t="str">
        <f>Raw_Data!D572</f>
        <v>Overnight Associate</v>
      </c>
      <c r="D572" s="2">
        <f>Raw_Data!F572</f>
        <v>17.059999999999999</v>
      </c>
      <c r="E572" s="2" t="str">
        <f>Raw_Data!H572</f>
        <v>HOURLY</v>
      </c>
      <c r="F572" s="2">
        <f>Raw_Data!I572</f>
        <v>106</v>
      </c>
      <c r="G572" s="13">
        <f>D572*INDEX(Multiplier_Lookup!$C$6:$C$9,MATCH(E572,Multiplier_Lookup!$B$6:$B$9,0))</f>
        <v>35484.799999999996</v>
      </c>
      <c r="H572" s="2" t="str">
        <f t="shared" si="8"/>
        <v>Wawa|Overnight Associate</v>
      </c>
    </row>
    <row r="573" spans="1:8" x14ac:dyDescent="0.35">
      <c r="A573" s="2" t="str">
        <f>Raw_Data!A573</f>
        <v>Wawa</v>
      </c>
      <c r="B573" s="2" t="str">
        <f>Raw_Data!C573</f>
        <v>Retail</v>
      </c>
      <c r="C573" s="2" t="str">
        <f>Raw_Data!D573</f>
        <v>Inventory Manager</v>
      </c>
      <c r="D573" s="2">
        <f>Raw_Data!F573</f>
        <v>21.12</v>
      </c>
      <c r="E573" s="2" t="str">
        <f>Raw_Data!H573</f>
        <v>HOURLY</v>
      </c>
      <c r="F573" s="2">
        <f>Raw_Data!I573</f>
        <v>18</v>
      </c>
      <c r="G573" s="13">
        <f>D573*INDEX(Multiplier_Lookup!$C$6:$C$9,MATCH(E573,Multiplier_Lookup!$B$6:$B$9,0))</f>
        <v>43929.599999999999</v>
      </c>
      <c r="H573" s="2" t="str">
        <f t="shared" si="8"/>
        <v>Wawa|Inventory Manager</v>
      </c>
    </row>
    <row r="574" spans="1:8" x14ac:dyDescent="0.35">
      <c r="A574" s="2" t="str">
        <f>Raw_Data!A574</f>
        <v>Wawa</v>
      </c>
      <c r="B574" s="2" t="str">
        <f>Raw_Data!C574</f>
        <v>Retail</v>
      </c>
      <c r="C574" s="2" t="str">
        <f>Raw_Data!D574</f>
        <v>Merchandise Manager</v>
      </c>
      <c r="D574" s="2">
        <f>Raw_Data!F574</f>
        <v>21.17</v>
      </c>
      <c r="E574" s="2" t="str">
        <f>Raw_Data!H574</f>
        <v>HOURLY</v>
      </c>
      <c r="F574" s="2">
        <f>Raw_Data!I574</f>
        <v>11</v>
      </c>
      <c r="G574" s="13">
        <f>D574*INDEX(Multiplier_Lookup!$C$6:$C$9,MATCH(E574,Multiplier_Lookup!$B$6:$B$9,0))</f>
        <v>44033.600000000006</v>
      </c>
      <c r="H574" s="2" t="str">
        <f t="shared" si="8"/>
        <v>Wawa|Merchandise Manager</v>
      </c>
    </row>
    <row r="575" spans="1:8" x14ac:dyDescent="0.35">
      <c r="A575" s="2" t="str">
        <f>Raw_Data!A575</f>
        <v>Wawa</v>
      </c>
      <c r="B575" s="2" t="str">
        <f>Raw_Data!C575</f>
        <v>Retail</v>
      </c>
      <c r="C575" s="2" t="str">
        <f>Raw_Data!D575</f>
        <v>Store Manager</v>
      </c>
      <c r="D575" s="2">
        <f>Raw_Data!F575</f>
        <v>18.11</v>
      </c>
      <c r="E575" s="2" t="str">
        <f>Raw_Data!H575</f>
        <v>HOURLY</v>
      </c>
      <c r="F575" s="2">
        <f>Raw_Data!I575</f>
        <v>31</v>
      </c>
      <c r="G575" s="13">
        <f>D575*INDEX(Multiplier_Lookup!$C$6:$C$9,MATCH(E575,Multiplier_Lookup!$B$6:$B$9,0))</f>
        <v>37668.799999999996</v>
      </c>
      <c r="H575" s="2" t="str">
        <f t="shared" si="8"/>
        <v>Wawa|Store Manager</v>
      </c>
    </row>
    <row r="576" spans="1:8" x14ac:dyDescent="0.35">
      <c r="A576" s="2" t="str">
        <f>Raw_Data!A576</f>
        <v>Wawa</v>
      </c>
      <c r="B576" s="2" t="str">
        <f>Raw_Data!C576</f>
        <v>Retail</v>
      </c>
      <c r="C576" s="2" t="str">
        <f>Raw_Data!D576</f>
        <v>Cashier</v>
      </c>
      <c r="D576" s="2">
        <f>Raw_Data!F576</f>
        <v>14.72</v>
      </c>
      <c r="E576" s="2" t="str">
        <f>Raw_Data!H576</f>
        <v>HOURLY</v>
      </c>
      <c r="F576" s="2">
        <f>Raw_Data!I576</f>
        <v>11</v>
      </c>
      <c r="G576" s="13">
        <f>D576*INDEX(Multiplier_Lookup!$C$6:$C$9,MATCH(E576,Multiplier_Lookup!$B$6:$B$9,0))</f>
        <v>30617.600000000002</v>
      </c>
      <c r="H576" s="2" t="str">
        <f t="shared" si="8"/>
        <v>Wawa|Cashier</v>
      </c>
    </row>
    <row r="577" spans="1:8" x14ac:dyDescent="0.35">
      <c r="A577" s="2" t="str">
        <f>Raw_Data!A577</f>
        <v>Wawa</v>
      </c>
      <c r="B577" s="2" t="str">
        <f>Raw_Data!C577</f>
        <v>Retail</v>
      </c>
      <c r="C577" s="2" t="str">
        <f>Raw_Data!D577</f>
        <v>Customer Service Associate / Cashier</v>
      </c>
      <c r="D577" s="2">
        <f>Raw_Data!F577</f>
        <v>15.83</v>
      </c>
      <c r="E577" s="2" t="str">
        <f>Raw_Data!H577</f>
        <v>HOURLY</v>
      </c>
      <c r="F577" s="2">
        <f>Raw_Data!I577</f>
        <v>17</v>
      </c>
      <c r="G577" s="13">
        <f>D577*INDEX(Multiplier_Lookup!$C$6:$C$9,MATCH(E577,Multiplier_Lookup!$B$6:$B$9,0))</f>
        <v>32926.400000000001</v>
      </c>
      <c r="H577" s="2" t="str">
        <f t="shared" si="8"/>
        <v>Wawa|Customer Service Associate / Cashier</v>
      </c>
    </row>
    <row r="578" spans="1:8" x14ac:dyDescent="0.35">
      <c r="A578" s="2" t="str">
        <f>Raw_Data!A578</f>
        <v>Wawa</v>
      </c>
      <c r="B578" s="2" t="str">
        <f>Raw_Data!C578</f>
        <v>Retail</v>
      </c>
      <c r="C578" s="2" t="str">
        <f>Raw_Data!D578</f>
        <v>Assistant Store Manager</v>
      </c>
      <c r="D578" s="2">
        <f>Raw_Data!F578</f>
        <v>27.39</v>
      </c>
      <c r="E578" s="2" t="str">
        <f>Raw_Data!H578</f>
        <v>HOURLY</v>
      </c>
      <c r="F578" s="2">
        <f>Raw_Data!I578</f>
        <v>17</v>
      </c>
      <c r="G578" s="13">
        <f>D578*INDEX(Multiplier_Lookup!$C$6:$C$9,MATCH(E578,Multiplier_Lookup!$B$6:$B$9,0))</f>
        <v>56971.200000000004</v>
      </c>
      <c r="H578" s="2" t="str">
        <f t="shared" ref="H578:H641" si="9">A578&amp;"|"&amp;C578</f>
        <v>Wawa|Assistant Store Manager</v>
      </c>
    </row>
    <row r="579" spans="1:8" x14ac:dyDescent="0.35">
      <c r="A579" s="2" t="str">
        <f>Raw_Data!A579</f>
        <v>Wawa</v>
      </c>
      <c r="B579" s="2" t="str">
        <f>Raw_Data!C579</f>
        <v>Retail</v>
      </c>
      <c r="C579" s="2" t="str">
        <f>Raw_Data!D579</f>
        <v>Retail Sales Associate</v>
      </c>
      <c r="D579" s="2">
        <f>Raw_Data!F579</f>
        <v>15.18</v>
      </c>
      <c r="E579" s="2" t="str">
        <f>Raw_Data!H579</f>
        <v>HOURLY</v>
      </c>
      <c r="F579" s="2">
        <f>Raw_Data!I579</f>
        <v>4</v>
      </c>
      <c r="G579" s="13">
        <f>D579*INDEX(Multiplier_Lookup!$C$6:$C$9,MATCH(E579,Multiplier_Lookup!$B$6:$B$9,0))</f>
        <v>31574.399999999998</v>
      </c>
      <c r="H579" s="2" t="str">
        <f t="shared" si="9"/>
        <v>Wawa|Retail Sales Associate</v>
      </c>
    </row>
    <row r="580" spans="1:8" x14ac:dyDescent="0.35">
      <c r="A580" s="2" t="str">
        <f>Raw_Data!A580</f>
        <v>Wawa</v>
      </c>
      <c r="B580" s="2" t="str">
        <f>Raw_Data!C580</f>
        <v>Retail</v>
      </c>
      <c r="C580" s="2" t="str">
        <f>Raw_Data!D580</f>
        <v>Cashier/Sales</v>
      </c>
      <c r="D580" s="2">
        <f>Raw_Data!F580</f>
        <v>11.54</v>
      </c>
      <c r="E580" s="2" t="str">
        <f>Raw_Data!H580</f>
        <v>HOURLY</v>
      </c>
      <c r="F580" s="2">
        <f>Raw_Data!I580</f>
        <v>3</v>
      </c>
      <c r="G580" s="13">
        <f>D580*INDEX(Multiplier_Lookup!$C$6:$C$9,MATCH(E580,Multiplier_Lookup!$B$6:$B$9,0))</f>
        <v>24003.199999999997</v>
      </c>
      <c r="H580" s="2" t="str">
        <f t="shared" si="9"/>
        <v>Wawa|Cashier/Sales</v>
      </c>
    </row>
    <row r="581" spans="1:8" x14ac:dyDescent="0.35">
      <c r="A581" s="2" t="str">
        <f>Raw_Data!A581</f>
        <v>Wawa</v>
      </c>
      <c r="B581" s="2" t="str">
        <f>Raw_Data!C581</f>
        <v>Food Preparation &amp; Service</v>
      </c>
      <c r="C581" s="2" t="str">
        <f>Raw_Data!D581</f>
        <v>Food &amp; Beverage Manager</v>
      </c>
      <c r="D581" s="2">
        <f>Raw_Data!F581</f>
        <v>25.7</v>
      </c>
      <c r="E581" s="2" t="str">
        <f>Raw_Data!H581</f>
        <v>HOURLY</v>
      </c>
      <c r="F581" s="2">
        <f>Raw_Data!I581</f>
        <v>12</v>
      </c>
      <c r="G581" s="13">
        <f>D581*INDEX(Multiplier_Lookup!$C$6:$C$9,MATCH(E581,Multiplier_Lookup!$B$6:$B$9,0))</f>
        <v>53456</v>
      </c>
      <c r="H581" s="2" t="str">
        <f t="shared" si="9"/>
        <v>Wawa|Food &amp; Beverage Manager</v>
      </c>
    </row>
    <row r="582" spans="1:8" x14ac:dyDescent="0.35">
      <c r="A582" s="2" t="str">
        <f>Raw_Data!A582</f>
        <v>Publix</v>
      </c>
      <c r="B582" s="2" t="str">
        <f>Raw_Data!C582</f>
        <v>Pharmacy</v>
      </c>
      <c r="C582" s="2" t="str">
        <f>Raw_Data!D582</f>
        <v>Pharmacy Technician</v>
      </c>
      <c r="D582" s="2">
        <f>Raw_Data!F582</f>
        <v>18.149999999999999</v>
      </c>
      <c r="E582" s="2" t="str">
        <f>Raw_Data!H582</f>
        <v>HOURLY</v>
      </c>
      <c r="F582" s="2">
        <f>Raw_Data!I582</f>
        <v>166</v>
      </c>
      <c r="G582" s="13">
        <f>D582*INDEX(Multiplier_Lookup!$C$6:$C$9,MATCH(E582,Multiplier_Lookup!$B$6:$B$9,0))</f>
        <v>37752</v>
      </c>
      <c r="H582" s="2" t="str">
        <f t="shared" si="9"/>
        <v>Publix|Pharmacy Technician</v>
      </c>
    </row>
    <row r="583" spans="1:8" x14ac:dyDescent="0.35">
      <c r="A583" s="2" t="str">
        <f>Raw_Data!A583</f>
        <v>Publix</v>
      </c>
      <c r="B583" s="2" t="str">
        <f>Raw_Data!C583</f>
        <v>Pharmacy</v>
      </c>
      <c r="C583" s="2" t="str">
        <f>Raw_Data!D583</f>
        <v>Pharmacist</v>
      </c>
      <c r="D583" s="2">
        <f>Raw_Data!F583</f>
        <v>62.69</v>
      </c>
      <c r="E583" s="2" t="str">
        <f>Raw_Data!H583</f>
        <v>HOURLY</v>
      </c>
      <c r="F583" s="2">
        <f>Raw_Data!I583</f>
        <v>4</v>
      </c>
      <c r="G583" s="13">
        <f>D583*INDEX(Multiplier_Lookup!$C$6:$C$9,MATCH(E583,Multiplier_Lookup!$B$6:$B$9,0))</f>
        <v>130395.2</v>
      </c>
      <c r="H583" s="2" t="str">
        <f t="shared" si="9"/>
        <v>Publix|Pharmacist</v>
      </c>
    </row>
    <row r="584" spans="1:8" x14ac:dyDescent="0.35">
      <c r="A584" s="2" t="str">
        <f>Raw_Data!A584</f>
        <v>Publix</v>
      </c>
      <c r="B584" s="2" t="str">
        <f>Raw_Data!C584</f>
        <v>Pharmacy</v>
      </c>
      <c r="C584" s="2" t="str">
        <f>Raw_Data!D584</f>
        <v>Certified Pharmacy Technician</v>
      </c>
      <c r="D584" s="2">
        <f>Raw_Data!F584</f>
        <v>18.61</v>
      </c>
      <c r="E584" s="2" t="str">
        <f>Raw_Data!H584</f>
        <v>HOURLY</v>
      </c>
      <c r="F584" s="2">
        <f>Raw_Data!I584</f>
        <v>5</v>
      </c>
      <c r="G584" s="13">
        <f>D584*INDEX(Multiplier_Lookup!$C$6:$C$9,MATCH(E584,Multiplier_Lookup!$B$6:$B$9,0))</f>
        <v>38708.799999999996</v>
      </c>
      <c r="H584" s="2" t="str">
        <f t="shared" si="9"/>
        <v>Publix|Certified Pharmacy Technician</v>
      </c>
    </row>
    <row r="585" spans="1:8" x14ac:dyDescent="0.35">
      <c r="A585" s="2" t="str">
        <f>Raw_Data!A585</f>
        <v>Publix</v>
      </c>
      <c r="B585" s="2" t="str">
        <f>Raw_Data!C585</f>
        <v>Pharmacy</v>
      </c>
      <c r="C585" s="2" t="str">
        <f>Raw_Data!D585</f>
        <v>Pharmacy Intern</v>
      </c>
      <c r="D585" s="2">
        <f>Raw_Data!F585</f>
        <v>16.760000000000002</v>
      </c>
      <c r="E585" s="2" t="str">
        <f>Raw_Data!H585</f>
        <v>HOURLY</v>
      </c>
      <c r="F585" s="2">
        <f>Raw_Data!I585</f>
        <v>16</v>
      </c>
      <c r="G585" s="13">
        <f>D585*INDEX(Multiplier_Lookup!$C$6:$C$9,MATCH(E585,Multiplier_Lookup!$B$6:$B$9,0))</f>
        <v>34860.800000000003</v>
      </c>
      <c r="H585" s="2" t="str">
        <f t="shared" si="9"/>
        <v>Publix|Pharmacy Intern</v>
      </c>
    </row>
    <row r="586" spans="1:8" x14ac:dyDescent="0.35">
      <c r="A586" s="2" t="str">
        <f>Raw_Data!A586</f>
        <v>Publix</v>
      </c>
      <c r="B586" s="2" t="str">
        <f>Raw_Data!C586</f>
        <v>Pharmacy</v>
      </c>
      <c r="C586" s="2" t="str">
        <f>Raw_Data!D586</f>
        <v>Pharmacy Manager</v>
      </c>
      <c r="D586" s="2">
        <f>Raw_Data!F586</f>
        <v>68.67</v>
      </c>
      <c r="E586" s="2" t="str">
        <f>Raw_Data!H586</f>
        <v>HOURLY</v>
      </c>
      <c r="F586" s="2">
        <f>Raw_Data!I586</f>
        <v>3</v>
      </c>
      <c r="G586" s="13">
        <f>D586*INDEX(Multiplier_Lookup!$C$6:$C$9,MATCH(E586,Multiplier_Lookup!$B$6:$B$9,0))</f>
        <v>142833.60000000001</v>
      </c>
      <c r="H586" s="2" t="str">
        <f t="shared" si="9"/>
        <v>Publix|Pharmacy Manager</v>
      </c>
    </row>
    <row r="587" spans="1:8" x14ac:dyDescent="0.35">
      <c r="A587" s="2" t="str">
        <f>Raw_Data!A587</f>
        <v>Publix</v>
      </c>
      <c r="B587" s="2" t="str">
        <f>Raw_Data!C587</f>
        <v>Installation &amp; Maintenance</v>
      </c>
      <c r="C587" s="2" t="str">
        <f>Raw_Data!D587</f>
        <v>Refrigeration Technician</v>
      </c>
      <c r="D587" s="2">
        <f>Raw_Data!F587</f>
        <v>33.200000000000003</v>
      </c>
      <c r="E587" s="2" t="str">
        <f>Raw_Data!H587</f>
        <v>HOURLY</v>
      </c>
      <c r="F587" s="2">
        <f>Raw_Data!I587</f>
        <v>9</v>
      </c>
      <c r="G587" s="13">
        <f>D587*INDEX(Multiplier_Lookup!$C$6:$C$9,MATCH(E587,Multiplier_Lookup!$B$6:$B$9,0))</f>
        <v>69056</v>
      </c>
      <c r="H587" s="2" t="str">
        <f t="shared" si="9"/>
        <v>Publix|Refrigeration Technician</v>
      </c>
    </row>
    <row r="588" spans="1:8" x14ac:dyDescent="0.35">
      <c r="A588" s="2" t="str">
        <f>Raw_Data!A588</f>
        <v>Publix</v>
      </c>
      <c r="B588" s="2" t="str">
        <f>Raw_Data!C588</f>
        <v>Installation &amp; Maintenance</v>
      </c>
      <c r="C588" s="2" t="str">
        <f>Raw_Data!D588</f>
        <v>Maintenance Technician</v>
      </c>
      <c r="D588" s="2">
        <f>Raw_Data!F588</f>
        <v>29.48</v>
      </c>
      <c r="E588" s="2" t="str">
        <f>Raw_Data!H588</f>
        <v>HOURLY</v>
      </c>
      <c r="F588" s="2">
        <f>Raw_Data!I588</f>
        <v>10</v>
      </c>
      <c r="G588" s="13">
        <f>D588*INDEX(Multiplier_Lookup!$C$6:$C$9,MATCH(E588,Multiplier_Lookup!$B$6:$B$9,0))</f>
        <v>61318.400000000001</v>
      </c>
      <c r="H588" s="2" t="str">
        <f t="shared" si="9"/>
        <v>Publix|Maintenance Technician</v>
      </c>
    </row>
    <row r="589" spans="1:8" x14ac:dyDescent="0.35">
      <c r="A589" s="2" t="str">
        <f>Raw_Data!A589</f>
        <v>Publix</v>
      </c>
      <c r="B589" s="2" t="str">
        <f>Raw_Data!C589</f>
        <v>Installation &amp; Maintenance</v>
      </c>
      <c r="C589" s="2" t="str">
        <f>Raw_Data!D589</f>
        <v>Quality Assurance Technician</v>
      </c>
      <c r="D589" s="2">
        <f>Raw_Data!F589</f>
        <v>23.49</v>
      </c>
      <c r="E589" s="2" t="str">
        <f>Raw_Data!H589</f>
        <v>HOURLY</v>
      </c>
      <c r="F589" s="2">
        <f>Raw_Data!I589</f>
        <v>8</v>
      </c>
      <c r="G589" s="13">
        <f>D589*INDEX(Multiplier_Lookup!$C$6:$C$9,MATCH(E589,Multiplier_Lookup!$B$6:$B$9,0))</f>
        <v>48859.199999999997</v>
      </c>
      <c r="H589" s="2" t="str">
        <f t="shared" si="9"/>
        <v>Publix|Quality Assurance Technician</v>
      </c>
    </row>
    <row r="590" spans="1:8" x14ac:dyDescent="0.35">
      <c r="A590" s="2" t="str">
        <f>Raw_Data!A590</f>
        <v>Publix</v>
      </c>
      <c r="B590" s="2" t="str">
        <f>Raw_Data!C590</f>
        <v>Installation &amp; Maintenance</v>
      </c>
      <c r="C590" s="2" t="str">
        <f>Raw_Data!D590</f>
        <v>Senior Facilities Technician</v>
      </c>
      <c r="D590" s="2">
        <f>Raw_Data!F590</f>
        <v>31.77</v>
      </c>
      <c r="E590" s="2" t="str">
        <f>Raw_Data!H590</f>
        <v>HOURLY</v>
      </c>
      <c r="F590" s="2">
        <f>Raw_Data!I590</f>
        <v>5</v>
      </c>
      <c r="G590" s="13">
        <f>D590*INDEX(Multiplier_Lookup!$C$6:$C$9,MATCH(E590,Multiplier_Lookup!$B$6:$B$9,0))</f>
        <v>66081.600000000006</v>
      </c>
      <c r="H590" s="2" t="str">
        <f t="shared" si="9"/>
        <v>Publix|Senior Facilities Technician</v>
      </c>
    </row>
    <row r="591" spans="1:8" x14ac:dyDescent="0.35">
      <c r="A591" s="2" t="str">
        <f>Raw_Data!A591</f>
        <v>Publix</v>
      </c>
      <c r="B591" s="2" t="str">
        <f>Raw_Data!C591</f>
        <v>Installation &amp; Maintenance</v>
      </c>
      <c r="C591" s="2" t="str">
        <f>Raw_Data!D591</f>
        <v>Senior Equipment Technician</v>
      </c>
      <c r="D591" s="2">
        <f>Raw_Data!F591</f>
        <v>31.49</v>
      </c>
      <c r="E591" s="2" t="str">
        <f>Raw_Data!H591</f>
        <v>HOURLY</v>
      </c>
      <c r="F591" s="2">
        <f>Raw_Data!I591</f>
        <v>6</v>
      </c>
      <c r="G591" s="13">
        <f>D591*INDEX(Multiplier_Lookup!$C$6:$C$9,MATCH(E591,Multiplier_Lookup!$B$6:$B$9,0))</f>
        <v>65499.199999999997</v>
      </c>
      <c r="H591" s="2" t="str">
        <f t="shared" si="9"/>
        <v>Publix|Senior Equipment Technician</v>
      </c>
    </row>
    <row r="592" spans="1:8" x14ac:dyDescent="0.35">
      <c r="A592" s="2" t="str">
        <f>Raw_Data!A592</f>
        <v>Whole Foods Market</v>
      </c>
      <c r="B592" s="2" t="str">
        <f>Raw_Data!C592</f>
        <v>Management</v>
      </c>
      <c r="C592" s="2" t="str">
        <f>Raw_Data!D592</f>
        <v>Team Leader</v>
      </c>
      <c r="D592" s="2">
        <f>Raw_Data!F592</f>
        <v>27.52</v>
      </c>
      <c r="E592" s="2" t="str">
        <f>Raw_Data!H592</f>
        <v>HOURLY</v>
      </c>
      <c r="F592" s="2">
        <f>Raw_Data!I592</f>
        <v>9</v>
      </c>
      <c r="G592" s="13">
        <f>D592*INDEX(Multiplier_Lookup!$C$6:$C$9,MATCH(E592,Multiplier_Lookup!$B$6:$B$9,0))</f>
        <v>57241.599999999999</v>
      </c>
      <c r="H592" s="2" t="str">
        <f t="shared" si="9"/>
        <v>Whole Foods Market|Team Leader</v>
      </c>
    </row>
    <row r="593" spans="1:8" x14ac:dyDescent="0.35">
      <c r="A593" s="2" t="str">
        <f>Raw_Data!A593</f>
        <v>Whole Foods Market</v>
      </c>
      <c r="B593" s="2" t="str">
        <f>Raw_Data!C593</f>
        <v>Management</v>
      </c>
      <c r="C593" s="2" t="str">
        <f>Raw_Data!D593</f>
        <v>Associate Team Leader</v>
      </c>
      <c r="D593" s="2">
        <f>Raw_Data!F593</f>
        <v>24.11</v>
      </c>
      <c r="E593" s="2" t="str">
        <f>Raw_Data!H593</f>
        <v>HOURLY</v>
      </c>
      <c r="F593" s="2">
        <f>Raw_Data!I593</f>
        <v>9</v>
      </c>
      <c r="G593" s="13">
        <f>D593*INDEX(Multiplier_Lookup!$C$6:$C$9,MATCH(E593,Multiplier_Lookup!$B$6:$B$9,0))</f>
        <v>50148.799999999996</v>
      </c>
      <c r="H593" s="2" t="str">
        <f t="shared" si="9"/>
        <v>Whole Foods Market|Associate Team Leader</v>
      </c>
    </row>
    <row r="594" spans="1:8" x14ac:dyDescent="0.35">
      <c r="A594" s="2" t="str">
        <f>Raw_Data!A594</f>
        <v>Whole Foods Market</v>
      </c>
      <c r="B594" s="2" t="str">
        <f>Raw_Data!C594</f>
        <v>Management</v>
      </c>
      <c r="C594" s="2" t="str">
        <f>Raw_Data!D594</f>
        <v>Supervisor</v>
      </c>
      <c r="D594" s="2">
        <f>Raw_Data!F594</f>
        <v>20.51</v>
      </c>
      <c r="E594" s="2" t="str">
        <f>Raw_Data!H594</f>
        <v>HOURLY</v>
      </c>
      <c r="F594" s="2">
        <f>Raw_Data!I594</f>
        <v>7</v>
      </c>
      <c r="G594" s="13">
        <f>D594*INDEX(Multiplier_Lookup!$C$6:$C$9,MATCH(E594,Multiplier_Lookup!$B$6:$B$9,0))</f>
        <v>42660.800000000003</v>
      </c>
      <c r="H594" s="2" t="str">
        <f t="shared" si="9"/>
        <v>Whole Foods Market|Supervisor</v>
      </c>
    </row>
    <row r="595" spans="1:8" x14ac:dyDescent="0.35">
      <c r="A595" s="2" t="str">
        <f>Raw_Data!A595</f>
        <v>Whole Foods Market</v>
      </c>
      <c r="B595" s="2" t="str">
        <f>Raw_Data!C595</f>
        <v>Management</v>
      </c>
      <c r="C595" s="2" t="str">
        <f>Raw_Data!D595</f>
        <v>Category Manager</v>
      </c>
      <c r="D595" s="2">
        <f>Raw_Data!F595</f>
        <v>81439</v>
      </c>
      <c r="E595" s="2" t="str">
        <f>Raw_Data!H595</f>
        <v>YEARLY</v>
      </c>
      <c r="F595" s="2">
        <f>Raw_Data!I595</f>
        <v>5</v>
      </c>
      <c r="G595" s="13">
        <f>D595*INDEX(Multiplier_Lookup!$C$6:$C$9,MATCH(E595,Multiplier_Lookup!$B$6:$B$9,0))</f>
        <v>81439</v>
      </c>
      <c r="H595" s="2" t="str">
        <f t="shared" si="9"/>
        <v>Whole Foods Market|Category Manager</v>
      </c>
    </row>
    <row r="596" spans="1:8" x14ac:dyDescent="0.35">
      <c r="A596" s="2" t="str">
        <f>Raw_Data!A596</f>
        <v>Whole Foods Market</v>
      </c>
      <c r="B596" s="2" t="str">
        <f>Raw_Data!C596</f>
        <v>Management</v>
      </c>
      <c r="C596" s="2" t="str">
        <f>Raw_Data!D596</f>
        <v>Shift Leader</v>
      </c>
      <c r="D596" s="2">
        <f>Raw_Data!F596</f>
        <v>143923</v>
      </c>
      <c r="E596" s="2" t="str">
        <f>Raw_Data!H596</f>
        <v>YEARLY</v>
      </c>
      <c r="F596" s="2">
        <f>Raw_Data!I596</f>
        <v>8</v>
      </c>
      <c r="G596" s="13">
        <f>D596*INDEX(Multiplier_Lookup!$C$6:$C$9,MATCH(E596,Multiplier_Lookup!$B$6:$B$9,0))</f>
        <v>143923</v>
      </c>
      <c r="H596" s="2" t="str">
        <f t="shared" si="9"/>
        <v>Whole Foods Market|Shift Leader</v>
      </c>
    </row>
    <row r="597" spans="1:8" x14ac:dyDescent="0.35">
      <c r="A597" s="2" t="str">
        <f>Raw_Data!A597</f>
        <v>Whole Foods Market</v>
      </c>
      <c r="B597" s="2" t="str">
        <f>Raw_Data!C597</f>
        <v>Management</v>
      </c>
      <c r="C597" s="2" t="str">
        <f>Raw_Data!D597</f>
        <v>Senior Category Manager</v>
      </c>
      <c r="D597" s="2">
        <f>Raw_Data!F597</f>
        <v>111168</v>
      </c>
      <c r="E597" s="2" t="str">
        <f>Raw_Data!H597</f>
        <v>YEARLY</v>
      </c>
      <c r="F597" s="2">
        <f>Raw_Data!I597</f>
        <v>4</v>
      </c>
      <c r="G597" s="13">
        <f>D597*INDEX(Multiplier_Lookup!$C$6:$C$9,MATCH(E597,Multiplier_Lookup!$B$6:$B$9,0))</f>
        <v>111168</v>
      </c>
      <c r="H597" s="2" t="str">
        <f t="shared" si="9"/>
        <v>Whole Foods Market|Senior Category Manager</v>
      </c>
    </row>
    <row r="598" spans="1:8" x14ac:dyDescent="0.35">
      <c r="A598" s="2" t="str">
        <f>Raw_Data!A598</f>
        <v>Whole Foods Market</v>
      </c>
      <c r="B598" s="2" t="str">
        <f>Raw_Data!C598</f>
        <v>Management</v>
      </c>
      <c r="C598" s="2" t="str">
        <f>Raw_Data!D598</f>
        <v>Engineering Team Leader</v>
      </c>
      <c r="D598" s="2">
        <f>Raw_Data!F598</f>
        <v>63349</v>
      </c>
      <c r="E598" s="2" t="str">
        <f>Raw_Data!H598</f>
        <v>YEARLY</v>
      </c>
      <c r="F598" s="2">
        <f>Raw_Data!I598</f>
        <v>3</v>
      </c>
      <c r="G598" s="13">
        <f>D598*INDEX(Multiplier_Lookup!$C$6:$C$9,MATCH(E598,Multiplier_Lookup!$B$6:$B$9,0))</f>
        <v>63349</v>
      </c>
      <c r="H598" s="2" t="str">
        <f t="shared" si="9"/>
        <v>Whole Foods Market|Engineering Team Leader</v>
      </c>
    </row>
    <row r="599" spans="1:8" x14ac:dyDescent="0.35">
      <c r="A599" s="2" t="str">
        <f>Raw_Data!A599</f>
        <v>Whole Foods Market</v>
      </c>
      <c r="B599" s="2" t="str">
        <f>Raw_Data!C599</f>
        <v>Management</v>
      </c>
      <c r="C599" s="2" t="str">
        <f>Raw_Data!D599</f>
        <v>Director</v>
      </c>
      <c r="D599" s="2">
        <f>Raw_Data!F599</f>
        <v>145515</v>
      </c>
      <c r="E599" s="2" t="str">
        <f>Raw_Data!H599</f>
        <v>YEARLY</v>
      </c>
      <c r="F599" s="2">
        <f>Raw_Data!I599</f>
        <v>3</v>
      </c>
      <c r="G599" s="13">
        <f>D599*INDEX(Multiplier_Lookup!$C$6:$C$9,MATCH(E599,Multiplier_Lookup!$B$6:$B$9,0))</f>
        <v>145515</v>
      </c>
      <c r="H599" s="2" t="str">
        <f t="shared" si="9"/>
        <v>Whole Foods Market|Director</v>
      </c>
    </row>
    <row r="600" spans="1:8" x14ac:dyDescent="0.35">
      <c r="A600" s="2" t="str">
        <f>Raw_Data!A600</f>
        <v>Whole Foods Market</v>
      </c>
      <c r="B600" s="2" t="str">
        <f>Raw_Data!C600</f>
        <v>Management</v>
      </c>
      <c r="C600" s="2" t="str">
        <f>Raw_Data!D600</f>
        <v>Manager</v>
      </c>
      <c r="D600" s="2">
        <f>Raw_Data!F600</f>
        <v>15000</v>
      </c>
      <c r="E600" s="2" t="str">
        <f>Raw_Data!H600</f>
        <v>YEARLY</v>
      </c>
      <c r="F600" s="2">
        <f>Raw_Data!I600</f>
        <v>1</v>
      </c>
      <c r="G600" s="13">
        <f>D600*INDEX(Multiplier_Lookup!$C$6:$C$9,MATCH(E600,Multiplier_Lookup!$B$6:$B$9,0))</f>
        <v>15000</v>
      </c>
      <c r="H600" s="2" t="str">
        <f t="shared" si="9"/>
        <v>Whole Foods Market|Manager</v>
      </c>
    </row>
    <row r="601" spans="1:8" x14ac:dyDescent="0.35">
      <c r="A601" s="2" t="str">
        <f>Raw_Data!A601</f>
        <v>Whole Foods Market</v>
      </c>
      <c r="B601" s="2" t="str">
        <f>Raw_Data!C601</f>
        <v>Management</v>
      </c>
      <c r="C601" s="2" t="str">
        <f>Raw_Data!D601</f>
        <v>Department Manager</v>
      </c>
      <c r="D601" s="2">
        <f>Raw_Data!F601</f>
        <v>19</v>
      </c>
      <c r="E601" s="2" t="str">
        <f>Raw_Data!H601</f>
        <v>HOURLY</v>
      </c>
      <c r="F601" s="2">
        <f>Raw_Data!I601</f>
        <v>1</v>
      </c>
      <c r="G601" s="13">
        <f>D601*INDEX(Multiplier_Lookup!$C$6:$C$9,MATCH(E601,Multiplier_Lookup!$B$6:$B$9,0))</f>
        <v>39520</v>
      </c>
      <c r="H601" s="2" t="str">
        <f t="shared" si="9"/>
        <v>Whole Foods Market|Department Manager</v>
      </c>
    </row>
    <row r="602" spans="1:8" x14ac:dyDescent="0.35">
      <c r="A602" s="2" t="str">
        <f>Raw_Data!A602</f>
        <v>Trader Joe's</v>
      </c>
      <c r="B602" s="2" t="str">
        <f>Raw_Data!C602</f>
        <v>Administrative Assistance</v>
      </c>
      <c r="C602" s="2" t="str">
        <f>Raw_Data!D602</f>
        <v>Operations Assistant</v>
      </c>
      <c r="D602" s="2">
        <f>Raw_Data!F602</f>
        <v>37.42</v>
      </c>
      <c r="E602" s="2" t="str">
        <f>Raw_Data!H602</f>
        <v>HOURLY</v>
      </c>
      <c r="F602" s="2">
        <f>Raw_Data!I602</f>
        <v>1</v>
      </c>
      <c r="G602" s="13">
        <f>D602*INDEX(Multiplier_Lookup!$C$6:$C$9,MATCH(E602,Multiplier_Lookup!$B$6:$B$9,0))</f>
        <v>77833.600000000006</v>
      </c>
      <c r="H602" s="2" t="str">
        <f t="shared" si="9"/>
        <v>Trader Joe's|Operations Assistant</v>
      </c>
    </row>
    <row r="603" spans="1:8" x14ac:dyDescent="0.35">
      <c r="A603" s="2" t="str">
        <f>Raw_Data!A603</f>
        <v>Trader Joe's</v>
      </c>
      <c r="B603" s="2" t="str">
        <f>Raw_Data!C603</f>
        <v>Administrative Assistance</v>
      </c>
      <c r="C603" s="2" t="str">
        <f>Raw_Data!D603</f>
        <v>Client Services Specialist</v>
      </c>
      <c r="D603" s="2">
        <f>Raw_Data!F603</f>
        <v>28.8</v>
      </c>
      <c r="E603" s="2" t="str">
        <f>Raw_Data!H603</f>
        <v>HOURLY</v>
      </c>
      <c r="F603" s="2">
        <f>Raw_Data!I603</f>
        <v>1</v>
      </c>
      <c r="G603" s="13">
        <f>D603*INDEX(Multiplier_Lookup!$C$6:$C$9,MATCH(E603,Multiplier_Lookup!$B$6:$B$9,0))</f>
        <v>59904</v>
      </c>
      <c r="H603" s="2" t="str">
        <f t="shared" si="9"/>
        <v>Trader Joe's|Client Services Specialist</v>
      </c>
    </row>
    <row r="604" spans="1:8" x14ac:dyDescent="0.35">
      <c r="A604" s="2" t="str">
        <f>Raw_Data!A604</f>
        <v>Trader Joe's</v>
      </c>
      <c r="B604" s="2" t="str">
        <f>Raw_Data!C604</f>
        <v>Administrative Assistance</v>
      </c>
      <c r="C604" s="2" t="str">
        <f>Raw_Data!D604</f>
        <v>Administrator</v>
      </c>
      <c r="D604" s="2">
        <f>Raw_Data!F604</f>
        <v>71446</v>
      </c>
      <c r="E604" s="2" t="str">
        <f>Raw_Data!H604</f>
        <v>YEARLY</v>
      </c>
      <c r="F604" s="2">
        <f>Raw_Data!I604</f>
        <v>1</v>
      </c>
      <c r="G604" s="13">
        <f>D604*INDEX(Multiplier_Lookup!$C$6:$C$9,MATCH(E604,Multiplier_Lookup!$B$6:$B$9,0))</f>
        <v>71446</v>
      </c>
      <c r="H604" s="2" t="str">
        <f t="shared" si="9"/>
        <v>Trader Joe's|Administrator</v>
      </c>
    </row>
    <row r="605" spans="1:8" x14ac:dyDescent="0.35">
      <c r="A605" s="2" t="str">
        <f>Raw_Data!A605</f>
        <v>Trader Joe's</v>
      </c>
      <c r="B605" s="2" t="str">
        <f>Raw_Data!C605</f>
        <v>Human Resources</v>
      </c>
      <c r="C605" s="2" t="str">
        <f>Raw_Data!D605</f>
        <v>Safety Coordinator</v>
      </c>
      <c r="D605" s="2">
        <f>Raw_Data!F605</f>
        <v>20.350000000000001</v>
      </c>
      <c r="E605" s="2" t="str">
        <f>Raw_Data!H605</f>
        <v>HOURLY</v>
      </c>
      <c r="F605" s="2">
        <f>Raw_Data!I605</f>
        <v>1</v>
      </c>
      <c r="G605" s="13">
        <f>D605*INDEX(Multiplier_Lookup!$C$6:$C$9,MATCH(E605,Multiplier_Lookup!$B$6:$B$9,0))</f>
        <v>42328</v>
      </c>
      <c r="H605" s="2" t="str">
        <f t="shared" si="9"/>
        <v>Trader Joe's|Safety Coordinator</v>
      </c>
    </row>
    <row r="606" spans="1:8" x14ac:dyDescent="0.35">
      <c r="A606" s="2" t="str">
        <f>Raw_Data!A606</f>
        <v>Trader Joe's</v>
      </c>
      <c r="B606" s="2" t="str">
        <f>Raw_Data!C606</f>
        <v>Human Resources</v>
      </c>
      <c r="C606" s="2" t="str">
        <f>Raw_Data!D606</f>
        <v>Human Resources Generalist</v>
      </c>
      <c r="D606" s="2">
        <f>Raw_Data!F606</f>
        <v>87180</v>
      </c>
      <c r="E606" s="2" t="str">
        <f>Raw_Data!H606</f>
        <v>YEARLY</v>
      </c>
      <c r="F606" s="2">
        <f>Raw_Data!I606</f>
        <v>1</v>
      </c>
      <c r="G606" s="13">
        <f>D606*INDEX(Multiplier_Lookup!$C$6:$C$9,MATCH(E606,Multiplier_Lookup!$B$6:$B$9,0))</f>
        <v>87180</v>
      </c>
      <c r="H606" s="2" t="str">
        <f t="shared" si="9"/>
        <v>Trader Joe's|Human Resources Generalist</v>
      </c>
    </row>
    <row r="607" spans="1:8" x14ac:dyDescent="0.35">
      <c r="A607" s="2" t="str">
        <f>Raw_Data!A607</f>
        <v>Trader Joe's</v>
      </c>
      <c r="B607" s="2" t="str">
        <f>Raw_Data!C607</f>
        <v>Human Resources</v>
      </c>
      <c r="C607" s="2" t="str">
        <f>Raw_Data!D607</f>
        <v>HRIS Analyst</v>
      </c>
      <c r="D607" s="2">
        <f>Raw_Data!F607</f>
        <v>27.39</v>
      </c>
      <c r="E607" s="2" t="str">
        <f>Raw_Data!H607</f>
        <v>HOURLY</v>
      </c>
      <c r="F607" s="2">
        <f>Raw_Data!I607</f>
        <v>1</v>
      </c>
      <c r="G607" s="13">
        <f>D607*INDEX(Multiplier_Lookup!$C$6:$C$9,MATCH(E607,Multiplier_Lookup!$B$6:$B$9,0))</f>
        <v>56971.200000000004</v>
      </c>
      <c r="H607" s="2" t="str">
        <f t="shared" si="9"/>
        <v>Trader Joe's|HRIS Analyst</v>
      </c>
    </row>
    <row r="608" spans="1:8" x14ac:dyDescent="0.35">
      <c r="A608" s="2" t="str">
        <f>Raw_Data!A608</f>
        <v>Trader Joe's</v>
      </c>
      <c r="B608" s="2" t="str">
        <f>Raw_Data!C608</f>
        <v>Information Design &amp; Documentation</v>
      </c>
      <c r="C608" s="2" t="str">
        <f>Raw_Data!D608</f>
        <v>Senior Systems Analyst</v>
      </c>
      <c r="D608" s="2">
        <f>Raw_Data!F608</f>
        <v>142303</v>
      </c>
      <c r="E608" s="2" t="str">
        <f>Raw_Data!H608</f>
        <v>YEARLY</v>
      </c>
      <c r="F608" s="2">
        <f>Raw_Data!I608</f>
        <v>1</v>
      </c>
      <c r="G608" s="13">
        <f>D608*INDEX(Multiplier_Lookup!$C$6:$C$9,MATCH(E608,Multiplier_Lookup!$B$6:$B$9,0))</f>
        <v>142303</v>
      </c>
      <c r="H608" s="2" t="str">
        <f t="shared" si="9"/>
        <v>Trader Joe's|Senior Systems Analyst</v>
      </c>
    </row>
    <row r="609" spans="1:8" x14ac:dyDescent="0.35">
      <c r="A609" s="2" t="str">
        <f>Raw_Data!A609</f>
        <v>Trader Joe's</v>
      </c>
      <c r="B609" s="2" t="str">
        <f>Raw_Data!C609</f>
        <v>Information Design &amp; Documentation</v>
      </c>
      <c r="C609" s="2" t="str">
        <f>Raw_Data!D609</f>
        <v>Business Systems Analyst</v>
      </c>
      <c r="D609" s="2">
        <f>Raw_Data!F609</f>
        <v>129904</v>
      </c>
      <c r="E609" s="2" t="str">
        <f>Raw_Data!H609</f>
        <v>YEARLY</v>
      </c>
      <c r="F609" s="2">
        <f>Raw_Data!I609</f>
        <v>1</v>
      </c>
      <c r="G609" s="13">
        <f>D609*INDEX(Multiplier_Lookup!$C$6:$C$9,MATCH(E609,Multiplier_Lookup!$B$6:$B$9,0))</f>
        <v>129904</v>
      </c>
      <c r="H609" s="2" t="str">
        <f t="shared" si="9"/>
        <v>Trader Joe's|Business Systems Analyst</v>
      </c>
    </row>
    <row r="610" spans="1:8" x14ac:dyDescent="0.35">
      <c r="A610" s="2" t="str">
        <f>Raw_Data!A610</f>
        <v>Trader Joe's</v>
      </c>
      <c r="B610" s="2" t="str">
        <f>Raw_Data!C610</f>
        <v>Accounting</v>
      </c>
      <c r="C610" s="2" t="str">
        <f>Raw_Data!D610</f>
        <v>Accounting Clerk</v>
      </c>
      <c r="D610" s="2">
        <f>Raw_Data!F610</f>
        <v>23.28</v>
      </c>
      <c r="E610" s="2" t="str">
        <f>Raw_Data!H610</f>
        <v>HOURLY</v>
      </c>
      <c r="F610" s="2">
        <f>Raw_Data!I610</f>
        <v>1</v>
      </c>
      <c r="G610" s="13">
        <f>D610*INDEX(Multiplier_Lookup!$C$6:$C$9,MATCH(E610,Multiplier_Lookup!$B$6:$B$9,0))</f>
        <v>48422.400000000001</v>
      </c>
      <c r="H610" s="2" t="str">
        <f t="shared" si="9"/>
        <v>Trader Joe's|Accounting Clerk</v>
      </c>
    </row>
    <row r="611" spans="1:8" x14ac:dyDescent="0.35">
      <c r="A611" s="2" t="str">
        <f>Raw_Data!A611</f>
        <v>United States Postal Service</v>
      </c>
      <c r="B611" s="2" t="str">
        <f>Raw_Data!C611</f>
        <v>Installation &amp; Maintenance</v>
      </c>
      <c r="C611" s="2" t="str">
        <f>Raw_Data!D611</f>
        <v>Workshop Service Technician</v>
      </c>
      <c r="D611" s="2">
        <f>Raw_Data!F611</f>
        <v>68761</v>
      </c>
      <c r="E611" s="2" t="str">
        <f>Raw_Data!H611</f>
        <v>YEARLY</v>
      </c>
      <c r="F611" s="2">
        <f>Raw_Data!I611</f>
        <v>4</v>
      </c>
      <c r="G611" s="13">
        <f>D611*INDEX(Multiplier_Lookup!$C$6:$C$9,MATCH(E611,Multiplier_Lookup!$B$6:$B$9,0))</f>
        <v>68761</v>
      </c>
      <c r="H611" s="2" t="str">
        <f t="shared" si="9"/>
        <v>United States Postal Service|Workshop Service Technician</v>
      </c>
    </row>
    <row r="612" spans="1:8" x14ac:dyDescent="0.35">
      <c r="A612" s="2" t="str">
        <f>Raw_Data!A612</f>
        <v>United States Postal Service</v>
      </c>
      <c r="B612" s="2" t="str">
        <f>Raw_Data!C612</f>
        <v>Installation &amp; Maintenance</v>
      </c>
      <c r="C612" s="2" t="str">
        <f>Raw_Data!D612</f>
        <v>Automotive Technician</v>
      </c>
      <c r="D612" s="2">
        <f>Raw_Data!F612</f>
        <v>64935</v>
      </c>
      <c r="E612" s="2" t="str">
        <f>Raw_Data!H612</f>
        <v>YEARLY</v>
      </c>
      <c r="F612" s="2">
        <f>Raw_Data!I612</f>
        <v>32</v>
      </c>
      <c r="G612" s="13">
        <f>D612*INDEX(Multiplier_Lookup!$C$6:$C$9,MATCH(E612,Multiplier_Lookup!$B$6:$B$9,0))</f>
        <v>64935</v>
      </c>
      <c r="H612" s="2" t="str">
        <f t="shared" si="9"/>
        <v>United States Postal Service|Automotive Technician</v>
      </c>
    </row>
    <row r="613" spans="1:8" x14ac:dyDescent="0.35">
      <c r="A613" s="2" t="str">
        <f>Raw_Data!A613</f>
        <v>United States Postal Service</v>
      </c>
      <c r="B613" s="2" t="str">
        <f>Raw_Data!C613</f>
        <v>Installation &amp; Maintenance</v>
      </c>
      <c r="C613" s="2" t="str">
        <f>Raw_Data!D613</f>
        <v>Maintenance Mechanic</v>
      </c>
      <c r="D613" s="2">
        <f>Raw_Data!F613</f>
        <v>62248</v>
      </c>
      <c r="E613" s="2" t="str">
        <f>Raw_Data!H613</f>
        <v>YEARLY</v>
      </c>
      <c r="F613" s="2">
        <f>Raw_Data!I613</f>
        <v>7</v>
      </c>
      <c r="G613" s="13">
        <f>D613*INDEX(Multiplier_Lookup!$C$6:$C$9,MATCH(E613,Multiplier_Lookup!$B$6:$B$9,0))</f>
        <v>62248</v>
      </c>
      <c r="H613" s="2" t="str">
        <f t="shared" si="9"/>
        <v>United States Postal Service|Maintenance Mechanic</v>
      </c>
    </row>
    <row r="614" spans="1:8" x14ac:dyDescent="0.35">
      <c r="A614" s="2" t="str">
        <f>Raw_Data!A614</f>
        <v>United States Postal Service</v>
      </c>
      <c r="B614" s="2" t="str">
        <f>Raw_Data!C614</f>
        <v>Installation &amp; Maintenance</v>
      </c>
      <c r="C614" s="2" t="str">
        <f>Raw_Data!D614</f>
        <v>Electronics Technician</v>
      </c>
      <c r="D614" s="2">
        <f>Raw_Data!F614</f>
        <v>75013</v>
      </c>
      <c r="E614" s="2" t="str">
        <f>Raw_Data!H614</f>
        <v>YEARLY</v>
      </c>
      <c r="F614" s="2">
        <f>Raw_Data!I614</f>
        <v>10</v>
      </c>
      <c r="G614" s="13">
        <f>D614*INDEX(Multiplier_Lookup!$C$6:$C$9,MATCH(E614,Multiplier_Lookup!$B$6:$B$9,0))</f>
        <v>75013</v>
      </c>
      <c r="H614" s="2" t="str">
        <f t="shared" si="9"/>
        <v>United States Postal Service|Electronics Technician</v>
      </c>
    </row>
    <row r="615" spans="1:8" x14ac:dyDescent="0.35">
      <c r="A615" s="2" t="str">
        <f>Raw_Data!A615</f>
        <v>United States Postal Service</v>
      </c>
      <c r="B615" s="2" t="str">
        <f>Raw_Data!C615</f>
        <v>Installation &amp; Maintenance</v>
      </c>
      <c r="C615" s="2" t="str">
        <f>Raw_Data!D615</f>
        <v>Equipment Mechanic</v>
      </c>
      <c r="D615" s="2">
        <f>Raw_Data!F615</f>
        <v>71279</v>
      </c>
      <c r="E615" s="2" t="str">
        <f>Raw_Data!H615</f>
        <v>YEARLY</v>
      </c>
      <c r="F615" s="2">
        <f>Raw_Data!I615</f>
        <v>5</v>
      </c>
      <c r="G615" s="13">
        <f>D615*INDEX(Multiplier_Lookup!$C$6:$C$9,MATCH(E615,Multiplier_Lookup!$B$6:$B$9,0))</f>
        <v>71279</v>
      </c>
      <c r="H615" s="2" t="str">
        <f t="shared" si="9"/>
        <v>United States Postal Service|Equipment Mechanic</v>
      </c>
    </row>
    <row r="616" spans="1:8" x14ac:dyDescent="0.35">
      <c r="A616" s="2" t="str">
        <f>Raw_Data!A616</f>
        <v>United States Postal Service</v>
      </c>
      <c r="B616" s="2" t="str">
        <f>Raw_Data!C616</f>
        <v>Installation &amp; Maintenance</v>
      </c>
      <c r="C616" s="2" t="str">
        <f>Raw_Data!D616</f>
        <v>Maintenance Person</v>
      </c>
      <c r="D616" s="2">
        <f>Raw_Data!F616</f>
        <v>74772</v>
      </c>
      <c r="E616" s="2" t="str">
        <f>Raw_Data!H616</f>
        <v>YEARLY</v>
      </c>
      <c r="F616" s="2">
        <f>Raw_Data!I616</f>
        <v>1</v>
      </c>
      <c r="G616" s="13">
        <f>D616*INDEX(Multiplier_Lookup!$C$6:$C$9,MATCH(E616,Multiplier_Lookup!$B$6:$B$9,0))</f>
        <v>74772</v>
      </c>
      <c r="H616" s="2" t="str">
        <f t="shared" si="9"/>
        <v>United States Postal Service|Maintenance Person</v>
      </c>
    </row>
    <row r="617" spans="1:8" x14ac:dyDescent="0.35">
      <c r="A617" s="2" t="str">
        <f>Raw_Data!A617</f>
        <v>United States Postal Service</v>
      </c>
      <c r="B617" s="2" t="str">
        <f>Raw_Data!C617</f>
        <v>Installation &amp; Maintenance</v>
      </c>
      <c r="C617" s="2" t="str">
        <f>Raw_Data!D617</f>
        <v>Automotive Mechanic</v>
      </c>
      <c r="D617" s="2">
        <f>Raw_Data!F617</f>
        <v>54862</v>
      </c>
      <c r="E617" s="2" t="str">
        <f>Raw_Data!H617</f>
        <v>YEARLY</v>
      </c>
      <c r="F617" s="2">
        <f>Raw_Data!I617</f>
        <v>1</v>
      </c>
      <c r="G617" s="13">
        <f>D617*INDEX(Multiplier_Lookup!$C$6:$C$9,MATCH(E617,Multiplier_Lookup!$B$6:$B$9,0))</f>
        <v>54862</v>
      </c>
      <c r="H617" s="2" t="str">
        <f t="shared" si="9"/>
        <v>United States Postal Service|Automotive Mechanic</v>
      </c>
    </row>
    <row r="618" spans="1:8" x14ac:dyDescent="0.35">
      <c r="A618" s="2" t="str">
        <f>Raw_Data!A618</f>
        <v>United States Postal Service</v>
      </c>
      <c r="B618" s="2" t="str">
        <f>Raw_Data!C618</f>
        <v>Installation &amp; Maintenance</v>
      </c>
      <c r="C618" s="2" t="str">
        <f>Raw_Data!D618</f>
        <v>Technician</v>
      </c>
      <c r="D618" s="2">
        <f>Raw_Data!F618</f>
        <v>66259</v>
      </c>
      <c r="E618" s="2" t="str">
        <f>Raw_Data!H618</f>
        <v>YEARLY</v>
      </c>
      <c r="F618" s="2">
        <f>Raw_Data!I618</f>
        <v>3</v>
      </c>
      <c r="G618" s="13">
        <f>D618*INDEX(Multiplier_Lookup!$C$6:$C$9,MATCH(E618,Multiplier_Lookup!$B$6:$B$9,0))</f>
        <v>66259</v>
      </c>
      <c r="H618" s="2" t="str">
        <f t="shared" si="9"/>
        <v>United States Postal Service|Technician</v>
      </c>
    </row>
    <row r="619" spans="1:8" x14ac:dyDescent="0.35">
      <c r="A619" s="2" t="str">
        <f>Raw_Data!A619</f>
        <v>United States Postal Service</v>
      </c>
      <c r="B619" s="2" t="str">
        <f>Raw_Data!C619</f>
        <v>Installation &amp; Maintenance</v>
      </c>
      <c r="C619" s="2" t="str">
        <f>Raw_Data!D619</f>
        <v>Senior Maintenance Person</v>
      </c>
      <c r="D619" s="2">
        <f>Raw_Data!F619</f>
        <v>70277</v>
      </c>
      <c r="E619" s="2" t="str">
        <f>Raw_Data!H619</f>
        <v>YEARLY</v>
      </c>
      <c r="F619" s="2">
        <f>Raw_Data!I619</f>
        <v>1</v>
      </c>
      <c r="G619" s="13">
        <f>D619*INDEX(Multiplier_Lookup!$C$6:$C$9,MATCH(E619,Multiplier_Lookup!$B$6:$B$9,0))</f>
        <v>70277</v>
      </c>
      <c r="H619" s="2" t="str">
        <f t="shared" si="9"/>
        <v>United States Postal Service|Senior Maintenance Person</v>
      </c>
    </row>
    <row r="620" spans="1:8" x14ac:dyDescent="0.35">
      <c r="A620" s="2" t="str">
        <f>Raw_Data!A620</f>
        <v>United States Postal Service</v>
      </c>
      <c r="B620" s="2" t="str">
        <f>Raw_Data!C620</f>
        <v>Administrative Assistance</v>
      </c>
      <c r="C620" s="2" t="str">
        <f>Raw_Data!D620</f>
        <v>Postal Clerk</v>
      </c>
      <c r="D620" s="2">
        <f>Raw_Data!F620</f>
        <v>21.75</v>
      </c>
      <c r="E620" s="2" t="str">
        <f>Raw_Data!H620</f>
        <v>HOURLY</v>
      </c>
      <c r="F620" s="2">
        <f>Raw_Data!I620</f>
        <v>10</v>
      </c>
      <c r="G620" s="13">
        <f>D620*INDEX(Multiplier_Lookup!$C$6:$C$9,MATCH(E620,Multiplier_Lookup!$B$6:$B$9,0))</f>
        <v>45240</v>
      </c>
      <c r="H620" s="2" t="str">
        <f t="shared" si="9"/>
        <v>United States Postal Service|Postal Clerk</v>
      </c>
    </row>
    <row r="621" spans="1:8" x14ac:dyDescent="0.35">
      <c r="A621" s="2" t="str">
        <f>Raw_Data!A621</f>
        <v>Enterprise Mobility</v>
      </c>
      <c r="B621" s="2" t="str">
        <f>Raw_Data!C621</f>
        <v>Accounting</v>
      </c>
      <c r="C621" s="2" t="str">
        <f>Raw_Data!D621</f>
        <v>Staff Accountant</v>
      </c>
      <c r="D621" s="2">
        <f>Raw_Data!F621</f>
        <v>48655</v>
      </c>
      <c r="E621" s="2" t="str">
        <f>Raw_Data!H621</f>
        <v>YEARLY</v>
      </c>
      <c r="F621" s="2">
        <f>Raw_Data!I621</f>
        <v>74</v>
      </c>
      <c r="G621" s="13">
        <f>D621*INDEX(Multiplier_Lookup!$C$6:$C$9,MATCH(E621,Multiplier_Lookup!$B$6:$B$9,0))</f>
        <v>48655</v>
      </c>
      <c r="H621" s="2" t="str">
        <f t="shared" si="9"/>
        <v>Enterprise Mobility|Staff Accountant</v>
      </c>
    </row>
    <row r="622" spans="1:8" x14ac:dyDescent="0.35">
      <c r="A622" s="2" t="str">
        <f>Raw_Data!A622</f>
        <v>Enterprise Mobility</v>
      </c>
      <c r="B622" s="2" t="str">
        <f>Raw_Data!C622</f>
        <v>Accounting</v>
      </c>
      <c r="C622" s="2" t="str">
        <f>Raw_Data!D622</f>
        <v>Accounts Payable Coordinator</v>
      </c>
      <c r="D622" s="2">
        <f>Raw_Data!F622</f>
        <v>34562</v>
      </c>
      <c r="E622" s="2" t="str">
        <f>Raw_Data!H622</f>
        <v>YEARLY</v>
      </c>
      <c r="F622" s="2">
        <f>Raw_Data!I622</f>
        <v>12</v>
      </c>
      <c r="G622" s="13">
        <f>D622*INDEX(Multiplier_Lookup!$C$6:$C$9,MATCH(E622,Multiplier_Lookup!$B$6:$B$9,0))</f>
        <v>34562</v>
      </c>
      <c r="H622" s="2" t="str">
        <f t="shared" si="9"/>
        <v>Enterprise Mobility|Accounts Payable Coordinator</v>
      </c>
    </row>
    <row r="623" spans="1:8" x14ac:dyDescent="0.35">
      <c r="A623" s="2" t="str">
        <f>Raw_Data!A623</f>
        <v>Enterprise Mobility</v>
      </c>
      <c r="B623" s="2" t="str">
        <f>Raw_Data!C623</f>
        <v>Accounting</v>
      </c>
      <c r="C623" s="2" t="str">
        <f>Raw_Data!D623</f>
        <v>Accounting Coordinator</v>
      </c>
      <c r="D623" s="2">
        <f>Raw_Data!F623</f>
        <v>41569</v>
      </c>
      <c r="E623" s="2" t="str">
        <f>Raw_Data!H623</f>
        <v>YEARLY</v>
      </c>
      <c r="F623" s="2">
        <f>Raw_Data!I623</f>
        <v>5</v>
      </c>
      <c r="G623" s="13">
        <f>D623*INDEX(Multiplier_Lookup!$C$6:$C$9,MATCH(E623,Multiplier_Lookup!$B$6:$B$9,0))</f>
        <v>41569</v>
      </c>
      <c r="H623" s="2" t="str">
        <f t="shared" si="9"/>
        <v>Enterprise Mobility|Accounting Coordinator</v>
      </c>
    </row>
    <row r="624" spans="1:8" x14ac:dyDescent="0.35">
      <c r="A624" s="2" t="str">
        <f>Raw_Data!A624</f>
        <v>Enterprise Mobility</v>
      </c>
      <c r="B624" s="2" t="str">
        <f>Raw_Data!C624</f>
        <v>Accounting</v>
      </c>
      <c r="C624" s="2" t="str">
        <f>Raw_Data!D624</f>
        <v>Accountant</v>
      </c>
      <c r="D624" s="2">
        <f>Raw_Data!F624</f>
        <v>57139</v>
      </c>
      <c r="E624" s="2" t="str">
        <f>Raw_Data!H624</f>
        <v>YEARLY</v>
      </c>
      <c r="F624" s="2">
        <f>Raw_Data!I624</f>
        <v>15</v>
      </c>
      <c r="G624" s="13">
        <f>D624*INDEX(Multiplier_Lookup!$C$6:$C$9,MATCH(E624,Multiplier_Lookup!$B$6:$B$9,0))</f>
        <v>57139</v>
      </c>
      <c r="H624" s="2" t="str">
        <f t="shared" si="9"/>
        <v>Enterprise Mobility|Accountant</v>
      </c>
    </row>
    <row r="625" spans="1:8" x14ac:dyDescent="0.35">
      <c r="A625" s="2" t="str">
        <f>Raw_Data!A625</f>
        <v>Enterprise Mobility</v>
      </c>
      <c r="B625" s="2" t="str">
        <f>Raw_Data!C625</f>
        <v>Accounting</v>
      </c>
      <c r="C625" s="2" t="str">
        <f>Raw_Data!D625</f>
        <v>Accounting Supervisor</v>
      </c>
      <c r="D625" s="2">
        <f>Raw_Data!F625</f>
        <v>68976</v>
      </c>
      <c r="E625" s="2" t="str">
        <f>Raw_Data!H625</f>
        <v>YEARLY</v>
      </c>
      <c r="F625" s="2">
        <f>Raw_Data!I625</f>
        <v>16</v>
      </c>
      <c r="G625" s="13">
        <f>D625*INDEX(Multiplier_Lookup!$C$6:$C$9,MATCH(E625,Multiplier_Lookup!$B$6:$B$9,0))</f>
        <v>68976</v>
      </c>
      <c r="H625" s="2" t="str">
        <f t="shared" si="9"/>
        <v>Enterprise Mobility|Accounting Supervisor</v>
      </c>
    </row>
    <row r="626" spans="1:8" x14ac:dyDescent="0.35">
      <c r="A626" s="2" t="str">
        <f>Raw_Data!A626</f>
        <v>Enterprise Mobility</v>
      </c>
      <c r="B626" s="2" t="str">
        <f>Raw_Data!C626</f>
        <v>Accounting</v>
      </c>
      <c r="C626" s="2" t="str">
        <f>Raw_Data!D626</f>
        <v>Senior Accountant</v>
      </c>
      <c r="D626" s="2">
        <f>Raw_Data!F626</f>
        <v>54498</v>
      </c>
      <c r="E626" s="2" t="str">
        <f>Raw_Data!H626</f>
        <v>YEARLY</v>
      </c>
      <c r="F626" s="2">
        <f>Raw_Data!I626</f>
        <v>13</v>
      </c>
      <c r="G626" s="13">
        <f>D626*INDEX(Multiplier_Lookup!$C$6:$C$9,MATCH(E626,Multiplier_Lookup!$B$6:$B$9,0))</f>
        <v>54498</v>
      </c>
      <c r="H626" s="2" t="str">
        <f t="shared" si="9"/>
        <v>Enterprise Mobility|Senior Accountant</v>
      </c>
    </row>
    <row r="627" spans="1:8" x14ac:dyDescent="0.35">
      <c r="A627" s="2" t="str">
        <f>Raw_Data!A627</f>
        <v>Enterprise Mobility</v>
      </c>
      <c r="B627" s="2" t="str">
        <f>Raw_Data!C627</f>
        <v>Accounting</v>
      </c>
      <c r="C627" s="2" t="str">
        <f>Raw_Data!D627</f>
        <v>Accounting Intern</v>
      </c>
      <c r="D627" s="2">
        <f>Raw_Data!F627</f>
        <v>20.63</v>
      </c>
      <c r="E627" s="2" t="str">
        <f>Raw_Data!H627</f>
        <v>HOURLY</v>
      </c>
      <c r="F627" s="2">
        <f>Raw_Data!I627</f>
        <v>6</v>
      </c>
      <c r="G627" s="13">
        <f>D627*INDEX(Multiplier_Lookup!$C$6:$C$9,MATCH(E627,Multiplier_Lookup!$B$6:$B$9,0))</f>
        <v>42910.400000000001</v>
      </c>
      <c r="H627" s="2" t="str">
        <f t="shared" si="9"/>
        <v>Enterprise Mobility|Accounting Intern</v>
      </c>
    </row>
    <row r="628" spans="1:8" x14ac:dyDescent="0.35">
      <c r="A628" s="2" t="str">
        <f>Raw_Data!A628</f>
        <v>Enterprise Mobility</v>
      </c>
      <c r="B628" s="2" t="str">
        <f>Raw_Data!C628</f>
        <v>Accounting</v>
      </c>
      <c r="C628" s="2" t="str">
        <f>Raw_Data!D628</f>
        <v>Senior Staff Accountant</v>
      </c>
      <c r="D628" s="2">
        <f>Raw_Data!F628</f>
        <v>62952</v>
      </c>
      <c r="E628" s="2" t="str">
        <f>Raw_Data!H628</f>
        <v>YEARLY</v>
      </c>
      <c r="F628" s="2">
        <f>Raw_Data!I628</f>
        <v>4</v>
      </c>
      <c r="G628" s="13">
        <f>D628*INDEX(Multiplier_Lookup!$C$6:$C$9,MATCH(E628,Multiplier_Lookup!$B$6:$B$9,0))</f>
        <v>62952</v>
      </c>
      <c r="H628" s="2" t="str">
        <f t="shared" si="9"/>
        <v>Enterprise Mobility|Senior Staff Accountant</v>
      </c>
    </row>
    <row r="629" spans="1:8" x14ac:dyDescent="0.35">
      <c r="A629" s="2" t="str">
        <f>Raw_Data!A629</f>
        <v>Enterprise Mobility</v>
      </c>
      <c r="B629" s="2" t="str">
        <f>Raw_Data!C629</f>
        <v>Accounting</v>
      </c>
      <c r="C629" s="2" t="str">
        <f>Raw_Data!D629</f>
        <v>Internal Auditor</v>
      </c>
      <c r="D629" s="2">
        <f>Raw_Data!F629</f>
        <v>84793</v>
      </c>
      <c r="E629" s="2" t="str">
        <f>Raw_Data!H629</f>
        <v>YEARLY</v>
      </c>
      <c r="F629" s="2">
        <f>Raw_Data!I629</f>
        <v>4</v>
      </c>
      <c r="G629" s="13">
        <f>D629*INDEX(Multiplier_Lookup!$C$6:$C$9,MATCH(E629,Multiplier_Lookup!$B$6:$B$9,0))</f>
        <v>84793</v>
      </c>
      <c r="H629" s="2" t="str">
        <f t="shared" si="9"/>
        <v>Enterprise Mobility|Internal Auditor</v>
      </c>
    </row>
    <row r="630" spans="1:8" x14ac:dyDescent="0.35">
      <c r="A630" s="2" t="str">
        <f>Raw_Data!A630</f>
        <v>Enterprise Mobility</v>
      </c>
      <c r="B630" s="2" t="str">
        <f>Raw_Data!C630</f>
        <v>Accounting</v>
      </c>
      <c r="C630" s="2" t="str">
        <f>Raw_Data!D630</f>
        <v>Accounts Payable Clerk</v>
      </c>
      <c r="D630" s="2">
        <f>Raw_Data!F630</f>
        <v>29350</v>
      </c>
      <c r="E630" s="2" t="str">
        <f>Raw_Data!H630</f>
        <v>YEARLY</v>
      </c>
      <c r="F630" s="2">
        <f>Raw_Data!I630</f>
        <v>4</v>
      </c>
      <c r="G630" s="13">
        <f>D630*INDEX(Multiplier_Lookup!$C$6:$C$9,MATCH(E630,Multiplier_Lookup!$B$6:$B$9,0))</f>
        <v>29350</v>
      </c>
      <c r="H630" s="2" t="str">
        <f t="shared" si="9"/>
        <v>Enterprise Mobility|Accounts Payable Clerk</v>
      </c>
    </row>
    <row r="631" spans="1:8" x14ac:dyDescent="0.35">
      <c r="A631" s="2" t="str">
        <f>Raw_Data!A631</f>
        <v>Hertz</v>
      </c>
      <c r="B631" s="2" t="str">
        <f>Raw_Data!C631</f>
        <v>Cleaning &amp; Sanitation</v>
      </c>
      <c r="C631" s="2" t="str">
        <f>Raw_Data!D631</f>
        <v>Car Wash Attendant</v>
      </c>
      <c r="D631" s="2">
        <f>Raw_Data!F631</f>
        <v>15.47</v>
      </c>
      <c r="E631" s="2" t="str">
        <f>Raw_Data!H631</f>
        <v>HOURLY</v>
      </c>
      <c r="F631" s="2">
        <f>Raw_Data!I631</f>
        <v>41</v>
      </c>
      <c r="G631" s="13">
        <f>D631*INDEX(Multiplier_Lookup!$C$6:$C$9,MATCH(E631,Multiplier_Lookup!$B$6:$B$9,0))</f>
        <v>32177.600000000002</v>
      </c>
      <c r="H631" s="2" t="str">
        <f t="shared" si="9"/>
        <v>Hertz|Car Wash Attendant</v>
      </c>
    </row>
    <row r="632" spans="1:8" x14ac:dyDescent="0.35">
      <c r="A632" s="2" t="str">
        <f>Raw_Data!A632</f>
        <v>Hertz</v>
      </c>
      <c r="B632" s="2" t="str">
        <f>Raw_Data!C632</f>
        <v>Cleaning &amp; Sanitation</v>
      </c>
      <c r="C632" s="2" t="str">
        <f>Raw_Data!D632</f>
        <v>Cleaner</v>
      </c>
      <c r="D632" s="2">
        <f>Raw_Data!F632</f>
        <v>14.07</v>
      </c>
      <c r="E632" s="2" t="str">
        <f>Raw_Data!H632</f>
        <v>HOURLY</v>
      </c>
      <c r="F632" s="2">
        <f>Raw_Data!I632</f>
        <v>6</v>
      </c>
      <c r="G632" s="13">
        <f>D632*INDEX(Multiplier_Lookup!$C$6:$C$9,MATCH(E632,Multiplier_Lookup!$B$6:$B$9,0))</f>
        <v>29265.600000000002</v>
      </c>
      <c r="H632" s="2" t="str">
        <f t="shared" si="9"/>
        <v>Hertz|Cleaner</v>
      </c>
    </row>
    <row r="633" spans="1:8" x14ac:dyDescent="0.35">
      <c r="A633" s="2" t="str">
        <f>Raw_Data!A633</f>
        <v>Hertz</v>
      </c>
      <c r="B633" s="2" t="str">
        <f>Raw_Data!C633</f>
        <v>Cleaning &amp; Sanitation</v>
      </c>
      <c r="C633" s="2" t="str">
        <f>Raw_Data!D633</f>
        <v>Automotive Detailer</v>
      </c>
      <c r="D633" s="2">
        <f>Raw_Data!F633</f>
        <v>15.91</v>
      </c>
      <c r="E633" s="2" t="str">
        <f>Raw_Data!H633</f>
        <v>HOURLY</v>
      </c>
      <c r="F633" s="2">
        <f>Raw_Data!I633</f>
        <v>25</v>
      </c>
      <c r="G633" s="13">
        <f>D633*INDEX(Multiplier_Lookup!$C$6:$C$9,MATCH(E633,Multiplier_Lookup!$B$6:$B$9,0))</f>
        <v>33092.800000000003</v>
      </c>
      <c r="H633" s="2" t="str">
        <f t="shared" si="9"/>
        <v>Hertz|Automotive Detailer</v>
      </c>
    </row>
    <row r="634" spans="1:8" x14ac:dyDescent="0.35">
      <c r="A634" s="2" t="str">
        <f>Raw_Data!A634</f>
        <v>Hertz</v>
      </c>
      <c r="B634" s="2" t="str">
        <f>Raw_Data!C634</f>
        <v>Cleaning &amp; Sanitation</v>
      </c>
      <c r="C634" s="2" t="str">
        <f>Raw_Data!D634</f>
        <v>Vehicle Care Representative</v>
      </c>
      <c r="D634" s="2">
        <f>Raw_Data!F634</f>
        <v>42883</v>
      </c>
      <c r="E634" s="2" t="str">
        <f>Raw_Data!H634</f>
        <v>YEARLY</v>
      </c>
      <c r="F634" s="2">
        <f>Raw_Data!I634</f>
        <v>8</v>
      </c>
      <c r="G634" s="13">
        <f>D634*INDEX(Multiplier_Lookup!$C$6:$C$9,MATCH(E634,Multiplier_Lookup!$B$6:$B$9,0))</f>
        <v>42883</v>
      </c>
      <c r="H634" s="2" t="str">
        <f t="shared" si="9"/>
        <v>Hertz|Vehicle Care Representative</v>
      </c>
    </row>
    <row r="635" spans="1:8" x14ac:dyDescent="0.35">
      <c r="A635" s="2" t="str">
        <f>Raw_Data!A635</f>
        <v>Hertz</v>
      </c>
      <c r="B635" s="2" t="str">
        <f>Raw_Data!C635</f>
        <v>Cleaning &amp; Sanitation</v>
      </c>
      <c r="C635" s="2" t="str">
        <f>Raw_Data!D635</f>
        <v>Detailer</v>
      </c>
      <c r="D635" s="2">
        <f>Raw_Data!F635</f>
        <v>12.37</v>
      </c>
      <c r="E635" s="2" t="str">
        <f>Raw_Data!H635</f>
        <v>HOURLY</v>
      </c>
      <c r="F635" s="2">
        <f>Raw_Data!I635</f>
        <v>2</v>
      </c>
      <c r="G635" s="13">
        <f>D635*INDEX(Multiplier_Lookup!$C$6:$C$9,MATCH(E635,Multiplier_Lookup!$B$6:$B$9,0))</f>
        <v>25729.599999999999</v>
      </c>
      <c r="H635" s="2" t="str">
        <f t="shared" si="9"/>
        <v>Hertz|Detailer</v>
      </c>
    </row>
    <row r="636" spans="1:8" x14ac:dyDescent="0.35">
      <c r="A636" s="2" t="str">
        <f>Raw_Data!A636</f>
        <v>Hertz</v>
      </c>
      <c r="B636" s="2" t="str">
        <f>Raw_Data!C636</f>
        <v>Cleaning &amp; Sanitation</v>
      </c>
      <c r="C636" s="2" t="str">
        <f>Raw_Data!D636</f>
        <v>Detallador/a automotriz</v>
      </c>
      <c r="D636" s="2">
        <f>Raw_Data!F636</f>
        <v>18.25</v>
      </c>
      <c r="E636" s="2" t="str">
        <f>Raw_Data!H636</f>
        <v>HOURLY</v>
      </c>
      <c r="F636" s="2">
        <f>Raw_Data!I636</f>
        <v>1</v>
      </c>
      <c r="G636" s="13">
        <f>D636*INDEX(Multiplier_Lookup!$C$6:$C$9,MATCH(E636,Multiplier_Lookup!$B$6:$B$9,0))</f>
        <v>37960</v>
      </c>
      <c r="H636" s="2" t="str">
        <f t="shared" si="9"/>
        <v>Hertz|Detallador/a automotriz</v>
      </c>
    </row>
    <row r="637" spans="1:8" x14ac:dyDescent="0.35">
      <c r="A637" s="2" t="str">
        <f>Raw_Data!A637</f>
        <v>Hertz</v>
      </c>
      <c r="B637" s="2" t="str">
        <f>Raw_Data!C637</f>
        <v>Cleaning &amp; Sanitation</v>
      </c>
      <c r="C637" s="2" t="str">
        <f>Raw_Data!D637</f>
        <v>Car Detailing</v>
      </c>
      <c r="D637" s="2">
        <f>Raw_Data!F637</f>
        <v>18.04</v>
      </c>
      <c r="E637" s="2" t="str">
        <f>Raw_Data!H637</f>
        <v>HOURLY</v>
      </c>
      <c r="F637" s="2">
        <f>Raw_Data!I637</f>
        <v>1</v>
      </c>
      <c r="G637" s="13">
        <f>D637*INDEX(Multiplier_Lookup!$C$6:$C$9,MATCH(E637,Multiplier_Lookup!$B$6:$B$9,0))</f>
        <v>37523.199999999997</v>
      </c>
      <c r="H637" s="2" t="str">
        <f t="shared" si="9"/>
        <v>Hertz|Car Detailing</v>
      </c>
    </row>
    <row r="638" spans="1:8" x14ac:dyDescent="0.35">
      <c r="A638" s="2" t="str">
        <f>Raw_Data!A638</f>
        <v>Hertz</v>
      </c>
      <c r="B638" s="2" t="str">
        <f>Raw_Data!C638</f>
        <v>Sales</v>
      </c>
      <c r="C638" s="2" t="str">
        <f>Raw_Data!D638</f>
        <v>Sales Consultant</v>
      </c>
      <c r="D638" s="2">
        <f>Raw_Data!F638</f>
        <v>12.7</v>
      </c>
      <c r="E638" s="2" t="str">
        <f>Raw_Data!H638</f>
        <v>HOURLY</v>
      </c>
      <c r="F638" s="2">
        <f>Raw_Data!I638</f>
        <v>5</v>
      </c>
      <c r="G638" s="13">
        <f>D638*INDEX(Multiplier_Lookup!$C$6:$C$9,MATCH(E638,Multiplier_Lookup!$B$6:$B$9,0))</f>
        <v>26416</v>
      </c>
      <c r="H638" s="2" t="str">
        <f t="shared" si="9"/>
        <v>Hertz|Sales Consultant</v>
      </c>
    </row>
    <row r="639" spans="1:8" x14ac:dyDescent="0.35">
      <c r="A639" s="2" t="str">
        <f>Raw_Data!A639</f>
        <v>Hertz</v>
      </c>
      <c r="B639" s="2" t="str">
        <f>Raw_Data!C639</f>
        <v>Sales</v>
      </c>
      <c r="C639" s="2" t="str">
        <f>Raw_Data!D639</f>
        <v>Sales Manager</v>
      </c>
      <c r="D639" s="2">
        <f>Raw_Data!F639</f>
        <v>17</v>
      </c>
      <c r="E639" s="2" t="str">
        <f>Raw_Data!H639</f>
        <v>HOURLY</v>
      </c>
      <c r="F639" s="2">
        <f>Raw_Data!I639</f>
        <v>1</v>
      </c>
      <c r="G639" s="13">
        <f>D639*INDEX(Multiplier_Lookup!$C$6:$C$9,MATCH(E639,Multiplier_Lookup!$B$6:$B$9,0))</f>
        <v>35360</v>
      </c>
      <c r="H639" s="2" t="str">
        <f t="shared" si="9"/>
        <v>Hertz|Sales Manager</v>
      </c>
    </row>
    <row r="640" spans="1:8" x14ac:dyDescent="0.35">
      <c r="A640" s="2" t="str">
        <f>Raw_Data!A640</f>
        <v>Hertz</v>
      </c>
      <c r="B640" s="2" t="str">
        <f>Raw_Data!C640</f>
        <v>Sales</v>
      </c>
      <c r="C640" s="2" t="str">
        <f>Raw_Data!D640</f>
        <v>Sales Specialist</v>
      </c>
      <c r="D640" s="2">
        <f>Raw_Data!F640</f>
        <v>16.66</v>
      </c>
      <c r="E640" s="2" t="str">
        <f>Raw_Data!H640</f>
        <v>HOURLY</v>
      </c>
      <c r="F640" s="2">
        <f>Raw_Data!I640</f>
        <v>5</v>
      </c>
      <c r="G640" s="13">
        <f>D640*INDEX(Multiplier_Lookup!$C$6:$C$9,MATCH(E640,Multiplier_Lookup!$B$6:$B$9,0))</f>
        <v>34652.800000000003</v>
      </c>
      <c r="H640" s="2" t="str">
        <f t="shared" si="9"/>
        <v>Hertz|Sales Specialist</v>
      </c>
    </row>
    <row r="641" spans="1:8" x14ac:dyDescent="0.35">
      <c r="A641" s="2" t="str">
        <f>Raw_Data!A641</f>
        <v>Uber</v>
      </c>
      <c r="B641" s="2" t="str">
        <f>Raw_Data!C641</f>
        <v>Driving</v>
      </c>
      <c r="C641" s="2" t="str">
        <f>Raw_Data!D641</f>
        <v>Driver</v>
      </c>
      <c r="D641" s="2">
        <f>Raw_Data!F641</f>
        <v>20.04</v>
      </c>
      <c r="E641" s="2" t="str">
        <f>Raw_Data!H641</f>
        <v>HOURLY</v>
      </c>
      <c r="F641" s="2">
        <f>Raw_Data!I641</f>
        <v>35</v>
      </c>
      <c r="G641" s="13">
        <f>D641*INDEX(Multiplier_Lookup!$C$6:$C$9,MATCH(E641,Multiplier_Lookup!$B$6:$B$9,0))</f>
        <v>41683.199999999997</v>
      </c>
      <c r="H641" s="2" t="str">
        <f t="shared" si="9"/>
        <v>Uber|Driver</v>
      </c>
    </row>
    <row r="642" spans="1:8" x14ac:dyDescent="0.35">
      <c r="A642" s="2" t="str">
        <f>Raw_Data!A642</f>
        <v>Uber</v>
      </c>
      <c r="B642" s="2" t="str">
        <f>Raw_Data!C642</f>
        <v>Driving</v>
      </c>
      <c r="C642" s="2" t="str">
        <f>Raw_Data!D642</f>
        <v>Driver (Independent Contractor)</v>
      </c>
      <c r="D642" s="2">
        <f>Raw_Data!F642</f>
        <v>24.02</v>
      </c>
      <c r="E642" s="2" t="str">
        <f>Raw_Data!H642</f>
        <v>HOURLY</v>
      </c>
      <c r="F642" s="2">
        <f>Raw_Data!I642</f>
        <v>17</v>
      </c>
      <c r="G642" s="13">
        <f>D642*INDEX(Multiplier_Lookup!$C$6:$C$9,MATCH(E642,Multiplier_Lookup!$B$6:$B$9,0))</f>
        <v>49961.599999999999</v>
      </c>
      <c r="H642" s="2" t="str">
        <f t="shared" ref="H642:H705" si="10">A642&amp;"|"&amp;C642</f>
        <v>Uber|Driver (Independent Contractor)</v>
      </c>
    </row>
    <row r="643" spans="1:8" x14ac:dyDescent="0.35">
      <c r="A643" s="2" t="str">
        <f>Raw_Data!A643</f>
        <v>Uber</v>
      </c>
      <c r="B643" s="2" t="str">
        <f>Raw_Data!C643</f>
        <v>Driving</v>
      </c>
      <c r="C643" s="2" t="str">
        <f>Raw_Data!D643</f>
        <v>Delivery Driver</v>
      </c>
      <c r="D643" s="2">
        <f>Raw_Data!F643</f>
        <v>19.5</v>
      </c>
      <c r="E643" s="2" t="str">
        <f>Raw_Data!H643</f>
        <v>HOURLY</v>
      </c>
      <c r="F643" s="2">
        <f>Raw_Data!I643</f>
        <v>23</v>
      </c>
      <c r="G643" s="13">
        <f>D643*INDEX(Multiplier_Lookup!$C$6:$C$9,MATCH(E643,Multiplier_Lookup!$B$6:$B$9,0))</f>
        <v>40560</v>
      </c>
      <c r="H643" s="2" t="str">
        <f t="shared" si="10"/>
        <v>Uber|Delivery Driver</v>
      </c>
    </row>
    <row r="644" spans="1:8" x14ac:dyDescent="0.35">
      <c r="A644" s="2" t="str">
        <f>Raw_Data!A644</f>
        <v>Uber</v>
      </c>
      <c r="B644" s="2" t="str">
        <f>Raw_Data!C644</f>
        <v>Driving</v>
      </c>
      <c r="C644" s="2" t="str">
        <f>Raw_Data!D644</f>
        <v>Independent Contractor</v>
      </c>
      <c r="D644" s="2">
        <f>Raw_Data!F644</f>
        <v>17.68</v>
      </c>
      <c r="E644" s="2" t="str">
        <f>Raw_Data!H644</f>
        <v>HOURLY</v>
      </c>
      <c r="F644" s="2">
        <f>Raw_Data!I644</f>
        <v>9</v>
      </c>
      <c r="G644" s="13">
        <f>D644*INDEX(Multiplier_Lookup!$C$6:$C$9,MATCH(E644,Multiplier_Lookup!$B$6:$B$9,0))</f>
        <v>36774.400000000001</v>
      </c>
      <c r="H644" s="2" t="str">
        <f t="shared" si="10"/>
        <v>Uber|Independent Contractor</v>
      </c>
    </row>
    <row r="645" spans="1:8" x14ac:dyDescent="0.35">
      <c r="A645" s="2" t="str">
        <f>Raw_Data!A645</f>
        <v>Uber</v>
      </c>
      <c r="B645" s="2" t="str">
        <f>Raw_Data!C645</f>
        <v>Driving</v>
      </c>
      <c r="C645" s="2" t="str">
        <f>Raw_Data!D645</f>
        <v>Truck Driver</v>
      </c>
      <c r="D645" s="2">
        <f>Raw_Data!F645</f>
        <v>13.28</v>
      </c>
      <c r="E645" s="2" t="str">
        <f>Raw_Data!H645</f>
        <v>HOURLY</v>
      </c>
      <c r="F645" s="2">
        <f>Raw_Data!I645</f>
        <v>3</v>
      </c>
      <c r="G645" s="13">
        <f>D645*INDEX(Multiplier_Lookup!$C$6:$C$9,MATCH(E645,Multiplier_Lookup!$B$6:$B$9,0))</f>
        <v>27622.399999999998</v>
      </c>
      <c r="H645" s="2" t="str">
        <f t="shared" si="10"/>
        <v>Uber|Truck Driver</v>
      </c>
    </row>
    <row r="646" spans="1:8" x14ac:dyDescent="0.35">
      <c r="A646" s="2" t="str">
        <f>Raw_Data!A646</f>
        <v>Uber</v>
      </c>
      <c r="B646" s="2" t="str">
        <f>Raw_Data!C646</f>
        <v>Driving</v>
      </c>
      <c r="C646" s="2" t="str">
        <f>Raw_Data!D646</f>
        <v>Courier</v>
      </c>
      <c r="D646" s="2">
        <f>Raw_Data!F646</f>
        <v>19.309999999999999</v>
      </c>
      <c r="E646" s="2" t="str">
        <f>Raw_Data!H646</f>
        <v>HOURLY</v>
      </c>
      <c r="F646" s="2">
        <f>Raw_Data!I646</f>
        <v>3</v>
      </c>
      <c r="G646" s="13">
        <f>D646*INDEX(Multiplier_Lookup!$C$6:$C$9,MATCH(E646,Multiplier_Lookup!$B$6:$B$9,0))</f>
        <v>40164.799999999996</v>
      </c>
      <c r="H646" s="2" t="str">
        <f t="shared" si="10"/>
        <v>Uber|Courier</v>
      </c>
    </row>
    <row r="647" spans="1:8" x14ac:dyDescent="0.35">
      <c r="A647" s="2" t="str">
        <f>Raw_Data!A647</f>
        <v>Uber</v>
      </c>
      <c r="B647" s="2" t="str">
        <f>Raw_Data!C647</f>
        <v>Driving</v>
      </c>
      <c r="C647" s="2" t="str">
        <f>Raw_Data!D647</f>
        <v>Transporter</v>
      </c>
      <c r="D647" s="2">
        <f>Raw_Data!F647</f>
        <v>40000</v>
      </c>
      <c r="E647" s="2" t="str">
        <f>Raw_Data!H647</f>
        <v>YEARLY</v>
      </c>
      <c r="F647" s="2">
        <f>Raw_Data!I647</f>
        <v>1</v>
      </c>
      <c r="G647" s="13">
        <f>D647*INDEX(Multiplier_Lookup!$C$6:$C$9,MATCH(E647,Multiplier_Lookup!$B$6:$B$9,0))</f>
        <v>40000</v>
      </c>
      <c r="H647" s="2" t="str">
        <f t="shared" si="10"/>
        <v>Uber|Transporter</v>
      </c>
    </row>
    <row r="648" spans="1:8" x14ac:dyDescent="0.35">
      <c r="A648" s="2" t="str">
        <f>Raw_Data!A648</f>
        <v>Uber</v>
      </c>
      <c r="B648" s="2" t="str">
        <f>Raw_Data!C648</f>
        <v>Driving</v>
      </c>
      <c r="C648" s="2" t="str">
        <f>Raw_Data!D648</f>
        <v>Senior Driver</v>
      </c>
      <c r="D648" s="2">
        <f>Raw_Data!F648</f>
        <v>254143</v>
      </c>
      <c r="E648" s="2" t="str">
        <f>Raw_Data!H648</f>
        <v>YEARLY</v>
      </c>
      <c r="F648" s="2">
        <f>Raw_Data!I648</f>
        <v>1</v>
      </c>
      <c r="G648" s="13">
        <f>D648*INDEX(Multiplier_Lookup!$C$6:$C$9,MATCH(E648,Multiplier_Lookup!$B$6:$B$9,0))</f>
        <v>254143</v>
      </c>
      <c r="H648" s="2" t="str">
        <f t="shared" si="10"/>
        <v>Uber|Senior Driver</v>
      </c>
    </row>
    <row r="649" spans="1:8" x14ac:dyDescent="0.35">
      <c r="A649" s="2" t="str">
        <f>Raw_Data!A649</f>
        <v>Uber</v>
      </c>
      <c r="B649" s="2" t="str">
        <f>Raw_Data!C649</f>
        <v>Driving</v>
      </c>
      <c r="C649" s="2" t="str">
        <f>Raw_Data!D649</f>
        <v>Drivers Helper</v>
      </c>
      <c r="D649" s="2">
        <f>Raw_Data!F649</f>
        <v>50000</v>
      </c>
      <c r="E649" s="2" t="str">
        <f>Raw_Data!H649</f>
        <v>YEARLY</v>
      </c>
      <c r="F649" s="2">
        <f>Raw_Data!I649</f>
        <v>1</v>
      </c>
      <c r="G649" s="13">
        <f>D649*INDEX(Multiplier_Lookup!$C$6:$C$9,MATCH(E649,Multiplier_Lookup!$B$6:$B$9,0))</f>
        <v>50000</v>
      </c>
      <c r="H649" s="2" t="str">
        <f t="shared" si="10"/>
        <v>Uber|Drivers Helper</v>
      </c>
    </row>
    <row r="650" spans="1:8" x14ac:dyDescent="0.35">
      <c r="A650" s="2" t="str">
        <f>Raw_Data!A650</f>
        <v>Uber</v>
      </c>
      <c r="B650" s="2" t="str">
        <f>Raw_Data!C650</f>
        <v>Management</v>
      </c>
      <c r="C650" s="2" t="str">
        <f>Raw_Data!D650</f>
        <v>Operations Manager</v>
      </c>
      <c r="D650" s="2">
        <f>Raw_Data!F650</f>
        <v>108342</v>
      </c>
      <c r="E650" s="2" t="str">
        <f>Raw_Data!H650</f>
        <v>YEARLY</v>
      </c>
      <c r="F650" s="2">
        <f>Raw_Data!I650</f>
        <v>9</v>
      </c>
      <c r="G650" s="13">
        <f>D650*INDEX(Multiplier_Lookup!$C$6:$C$9,MATCH(E650,Multiplier_Lookup!$B$6:$B$9,0))</f>
        <v>108342</v>
      </c>
      <c r="H650" s="2" t="str">
        <f t="shared" si="10"/>
        <v>Uber|Operations Manager</v>
      </c>
    </row>
    <row r="651" spans="1:8" x14ac:dyDescent="0.35">
      <c r="A651" s="2" t="str">
        <f>Raw_Data!A651</f>
        <v>Lyft Drivers</v>
      </c>
      <c r="B651" s="2" t="str">
        <f>Raw_Data!C651</f>
        <v>Human Resources</v>
      </c>
      <c r="C651" s="2" t="str">
        <f>Raw_Data!D651</f>
        <v>Recruiter</v>
      </c>
      <c r="D651" s="2">
        <f>Raw_Data!F651</f>
        <v>91467</v>
      </c>
      <c r="E651" s="2" t="str">
        <f>Raw_Data!H651</f>
        <v>YEARLY</v>
      </c>
      <c r="F651" s="2">
        <f>Raw_Data!I651</f>
        <v>16</v>
      </c>
      <c r="G651" s="13">
        <f>D651*INDEX(Multiplier_Lookup!$C$6:$C$9,MATCH(E651,Multiplier_Lookup!$B$6:$B$9,0))</f>
        <v>91467</v>
      </c>
      <c r="H651" s="2" t="str">
        <f t="shared" si="10"/>
        <v>Lyft Drivers|Recruiter</v>
      </c>
    </row>
    <row r="652" spans="1:8" x14ac:dyDescent="0.35">
      <c r="A652" s="2" t="str">
        <f>Raw_Data!A652</f>
        <v>Lyft Drivers</v>
      </c>
      <c r="B652" s="2" t="str">
        <f>Raw_Data!C652</f>
        <v>Human Resources</v>
      </c>
      <c r="C652" s="2" t="str">
        <f>Raw_Data!D652</f>
        <v>Safety Specialist</v>
      </c>
      <c r="D652" s="2">
        <f>Raw_Data!F652</f>
        <v>48173</v>
      </c>
      <c r="E652" s="2" t="str">
        <f>Raw_Data!H652</f>
        <v>YEARLY</v>
      </c>
      <c r="F652" s="2">
        <f>Raw_Data!I652</f>
        <v>11</v>
      </c>
      <c r="G652" s="13">
        <f>D652*INDEX(Multiplier_Lookup!$C$6:$C$9,MATCH(E652,Multiplier_Lookup!$B$6:$B$9,0))</f>
        <v>48173</v>
      </c>
      <c r="H652" s="2" t="str">
        <f t="shared" si="10"/>
        <v>Lyft Drivers|Safety Specialist</v>
      </c>
    </row>
    <row r="653" spans="1:8" x14ac:dyDescent="0.35">
      <c r="A653" s="2" t="str">
        <f>Raw_Data!A653</f>
        <v>Lyft Drivers</v>
      </c>
      <c r="B653" s="2" t="str">
        <f>Raw_Data!C653</f>
        <v>Human Resources</v>
      </c>
      <c r="C653" s="2" t="str">
        <f>Raw_Data!D653</f>
        <v>Recruiting Coordinator</v>
      </c>
      <c r="D653" s="2">
        <f>Raw_Data!F653</f>
        <v>28.46</v>
      </c>
      <c r="E653" s="2" t="str">
        <f>Raw_Data!H653</f>
        <v>HOURLY</v>
      </c>
      <c r="F653" s="2">
        <f>Raw_Data!I653</f>
        <v>4</v>
      </c>
      <c r="G653" s="13">
        <f>D653*INDEX(Multiplier_Lookup!$C$6:$C$9,MATCH(E653,Multiplier_Lookup!$B$6:$B$9,0))</f>
        <v>59196.800000000003</v>
      </c>
      <c r="H653" s="2" t="str">
        <f t="shared" si="10"/>
        <v>Lyft Drivers|Recruiting Coordinator</v>
      </c>
    </row>
    <row r="654" spans="1:8" x14ac:dyDescent="0.35">
      <c r="A654" s="2" t="str">
        <f>Raw_Data!A654</f>
        <v>Lyft Drivers</v>
      </c>
      <c r="B654" s="2" t="str">
        <f>Raw_Data!C654</f>
        <v>Human Resources</v>
      </c>
      <c r="C654" s="2" t="str">
        <f>Raw_Data!D654</f>
        <v>Human Resources Business Partner</v>
      </c>
      <c r="D654" s="2">
        <f>Raw_Data!F654</f>
        <v>177050</v>
      </c>
      <c r="E654" s="2" t="str">
        <f>Raw_Data!H654</f>
        <v>YEARLY</v>
      </c>
      <c r="F654" s="2">
        <f>Raw_Data!I654</f>
        <v>3</v>
      </c>
      <c r="G654" s="13">
        <f>D654*INDEX(Multiplier_Lookup!$C$6:$C$9,MATCH(E654,Multiplier_Lookup!$B$6:$B$9,0))</f>
        <v>177050</v>
      </c>
      <c r="H654" s="2" t="str">
        <f t="shared" si="10"/>
        <v>Lyft Drivers|Human Resources Business Partner</v>
      </c>
    </row>
    <row r="655" spans="1:8" x14ac:dyDescent="0.35">
      <c r="A655" s="2" t="str">
        <f>Raw_Data!A655</f>
        <v>Lyft Drivers</v>
      </c>
      <c r="B655" s="2" t="str">
        <f>Raw_Data!C655</f>
        <v>Management</v>
      </c>
      <c r="C655" s="2" t="str">
        <f>Raw_Data!D655</f>
        <v>Operations Lead</v>
      </c>
      <c r="D655" s="2">
        <f>Raw_Data!F655</f>
        <v>81456</v>
      </c>
      <c r="E655" s="2" t="str">
        <f>Raw_Data!H655</f>
        <v>YEARLY</v>
      </c>
      <c r="F655" s="2">
        <f>Raw_Data!I655</f>
        <v>10</v>
      </c>
      <c r="G655" s="13">
        <f>D655*INDEX(Multiplier_Lookup!$C$6:$C$9,MATCH(E655,Multiplier_Lookup!$B$6:$B$9,0))</f>
        <v>81456</v>
      </c>
      <c r="H655" s="2" t="str">
        <f t="shared" si="10"/>
        <v>Lyft Drivers|Operations Lead</v>
      </c>
    </row>
    <row r="656" spans="1:8" x14ac:dyDescent="0.35">
      <c r="A656" s="2" t="str">
        <f>Raw_Data!A656</f>
        <v>Lyft Drivers</v>
      </c>
      <c r="B656" s="2" t="str">
        <f>Raw_Data!C656</f>
        <v>Management</v>
      </c>
      <c r="C656" s="2" t="str">
        <f>Raw_Data!D656</f>
        <v>Program Leader</v>
      </c>
      <c r="D656" s="2">
        <f>Raw_Data!F656</f>
        <v>83455</v>
      </c>
      <c r="E656" s="2" t="str">
        <f>Raw_Data!H656</f>
        <v>YEARLY</v>
      </c>
      <c r="F656" s="2">
        <f>Raw_Data!I656</f>
        <v>7</v>
      </c>
      <c r="G656" s="13">
        <f>D656*INDEX(Multiplier_Lookup!$C$6:$C$9,MATCH(E656,Multiplier_Lookup!$B$6:$B$9,0))</f>
        <v>83455</v>
      </c>
      <c r="H656" s="2" t="str">
        <f t="shared" si="10"/>
        <v>Lyft Drivers|Program Leader</v>
      </c>
    </row>
    <row r="657" spans="1:8" x14ac:dyDescent="0.35">
      <c r="A657" s="2" t="str">
        <f>Raw_Data!A657</f>
        <v>Lyft Drivers</v>
      </c>
      <c r="B657" s="2" t="str">
        <f>Raw_Data!C657</f>
        <v>Management</v>
      </c>
      <c r="C657" s="2" t="str">
        <f>Raw_Data!D657</f>
        <v>Vice President</v>
      </c>
      <c r="D657" s="2">
        <f>Raw_Data!F657</f>
        <v>369439</v>
      </c>
      <c r="E657" s="2" t="str">
        <f>Raw_Data!H657</f>
        <v>YEARLY</v>
      </c>
      <c r="F657" s="2">
        <f>Raw_Data!I657</f>
        <v>4</v>
      </c>
      <c r="G657" s="13">
        <f>D657*INDEX(Multiplier_Lookup!$C$6:$C$9,MATCH(E657,Multiplier_Lookup!$B$6:$B$9,0))</f>
        <v>369439</v>
      </c>
      <c r="H657" s="2" t="str">
        <f t="shared" si="10"/>
        <v>Lyft Drivers|Vice President</v>
      </c>
    </row>
    <row r="658" spans="1:8" x14ac:dyDescent="0.35">
      <c r="A658" s="2" t="str">
        <f>Raw_Data!A658</f>
        <v>Lyft Drivers</v>
      </c>
      <c r="B658" s="2" t="str">
        <f>Raw_Data!C658</f>
        <v>Management</v>
      </c>
      <c r="C658" s="2" t="str">
        <f>Raw_Data!D658</f>
        <v>Director</v>
      </c>
      <c r="D658" s="2">
        <f>Raw_Data!F658</f>
        <v>170593</v>
      </c>
      <c r="E658" s="2" t="str">
        <f>Raw_Data!H658</f>
        <v>YEARLY</v>
      </c>
      <c r="F658" s="2">
        <f>Raw_Data!I658</f>
        <v>4</v>
      </c>
      <c r="G658" s="13">
        <f>D658*INDEX(Multiplier_Lookup!$C$6:$C$9,MATCH(E658,Multiplier_Lookup!$B$6:$B$9,0))</f>
        <v>170593</v>
      </c>
      <c r="H658" s="2" t="str">
        <f t="shared" si="10"/>
        <v>Lyft Drivers|Director</v>
      </c>
    </row>
    <row r="659" spans="1:8" x14ac:dyDescent="0.35">
      <c r="A659" s="2" t="str">
        <f>Raw_Data!A659</f>
        <v>Lyft Drivers</v>
      </c>
      <c r="B659" s="2" t="str">
        <f>Raw_Data!C659</f>
        <v>Management</v>
      </c>
      <c r="C659" s="2" t="str">
        <f>Raw_Data!D659</f>
        <v>Business Development Manager</v>
      </c>
      <c r="D659" s="2">
        <f>Raw_Data!F659</f>
        <v>152881</v>
      </c>
      <c r="E659" s="2" t="str">
        <f>Raw_Data!H659</f>
        <v>YEARLY</v>
      </c>
      <c r="F659" s="2">
        <f>Raw_Data!I659</f>
        <v>4</v>
      </c>
      <c r="G659" s="13">
        <f>D659*INDEX(Multiplier_Lookup!$C$6:$C$9,MATCH(E659,Multiplier_Lookup!$B$6:$B$9,0))</f>
        <v>152881</v>
      </c>
      <c r="H659" s="2" t="str">
        <f t="shared" si="10"/>
        <v>Lyft Drivers|Business Development Manager</v>
      </c>
    </row>
    <row r="660" spans="1:8" x14ac:dyDescent="0.35">
      <c r="A660" s="2" t="str">
        <f>Raw_Data!A660</f>
        <v>Lyft Drivers</v>
      </c>
      <c r="B660" s="2" t="str">
        <f>Raw_Data!C660</f>
        <v>Management</v>
      </c>
      <c r="C660" s="2" t="str">
        <f>Raw_Data!D660</f>
        <v>Operations Manager</v>
      </c>
      <c r="D660" s="2">
        <f>Raw_Data!F660</f>
        <v>111204</v>
      </c>
      <c r="E660" s="2" t="str">
        <f>Raw_Data!H660</f>
        <v>YEARLY</v>
      </c>
      <c r="F660" s="2">
        <f>Raw_Data!I660</f>
        <v>3</v>
      </c>
      <c r="G660" s="13">
        <f>D660*INDEX(Multiplier_Lookup!$C$6:$C$9,MATCH(E660,Multiplier_Lookup!$B$6:$B$9,0))</f>
        <v>111204</v>
      </c>
      <c r="H660" s="2" t="str">
        <f t="shared" si="10"/>
        <v>Lyft Drivers|Operations Manager</v>
      </c>
    </row>
    <row r="661" spans="1:8" x14ac:dyDescent="0.35">
      <c r="A661" s="2" t="str">
        <f>Raw_Data!A661</f>
        <v>Domino's</v>
      </c>
      <c r="B661" s="2" t="str">
        <f>Raw_Data!C661</f>
        <v>Customer Service</v>
      </c>
      <c r="C661" s="2" t="str">
        <f>Raw_Data!D661</f>
        <v>Customer Service Representative</v>
      </c>
      <c r="D661" s="2">
        <f>Raw_Data!F661</f>
        <v>12.19</v>
      </c>
      <c r="E661" s="2" t="str">
        <f>Raw_Data!H661</f>
        <v>HOURLY</v>
      </c>
      <c r="F661" s="2">
        <f>Raw_Data!I661</f>
        <v>3216</v>
      </c>
      <c r="G661" s="13">
        <f>D661*INDEX(Multiplier_Lookup!$C$6:$C$9,MATCH(E661,Multiplier_Lookup!$B$6:$B$9,0))</f>
        <v>25355.200000000001</v>
      </c>
      <c r="H661" s="2" t="str">
        <f t="shared" si="10"/>
        <v>Domino's|Customer Service Representative</v>
      </c>
    </row>
    <row r="662" spans="1:8" x14ac:dyDescent="0.35">
      <c r="A662" s="2" t="str">
        <f>Raw_Data!A662</f>
        <v>Domino's</v>
      </c>
      <c r="B662" s="2" t="str">
        <f>Raw_Data!C662</f>
        <v>Customer Service</v>
      </c>
      <c r="C662" s="2" t="str">
        <f>Raw_Data!D662</f>
        <v>Customer Experience Agent</v>
      </c>
      <c r="D662" s="2">
        <f>Raw_Data!F662</f>
        <v>17.32</v>
      </c>
      <c r="E662" s="2" t="str">
        <f>Raw_Data!H662</f>
        <v>HOURLY</v>
      </c>
      <c r="F662" s="2">
        <f>Raw_Data!I662</f>
        <v>109</v>
      </c>
      <c r="G662" s="13">
        <f>D662*INDEX(Multiplier_Lookup!$C$6:$C$9,MATCH(E662,Multiplier_Lookup!$B$6:$B$9,0))</f>
        <v>36025.599999999999</v>
      </c>
      <c r="H662" s="2" t="str">
        <f t="shared" si="10"/>
        <v>Domino's|Customer Experience Agent</v>
      </c>
    </row>
    <row r="663" spans="1:8" x14ac:dyDescent="0.35">
      <c r="A663" s="2" t="str">
        <f>Raw_Data!A663</f>
        <v>Domino's</v>
      </c>
      <c r="B663" s="2" t="str">
        <f>Raw_Data!C663</f>
        <v>Customer Service</v>
      </c>
      <c r="C663" s="2" t="str">
        <f>Raw_Data!D663</f>
        <v>Customer Service Manager</v>
      </c>
      <c r="D663" s="2">
        <f>Raw_Data!F663</f>
        <v>11.68</v>
      </c>
      <c r="E663" s="2" t="str">
        <f>Raw_Data!H663</f>
        <v>HOURLY</v>
      </c>
      <c r="F663" s="2">
        <f>Raw_Data!I663</f>
        <v>65</v>
      </c>
      <c r="G663" s="13">
        <f>D663*INDEX(Multiplier_Lookup!$C$6:$C$9,MATCH(E663,Multiplier_Lookup!$B$6:$B$9,0))</f>
        <v>24294.399999999998</v>
      </c>
      <c r="H663" s="2" t="str">
        <f t="shared" si="10"/>
        <v>Domino's|Customer Service Manager</v>
      </c>
    </row>
    <row r="664" spans="1:8" x14ac:dyDescent="0.35">
      <c r="A664" s="2" t="str">
        <f>Raw_Data!A664</f>
        <v>Domino's</v>
      </c>
      <c r="B664" s="2" t="str">
        <f>Raw_Data!C664</f>
        <v>Customer Service</v>
      </c>
      <c r="C664" s="2" t="str">
        <f>Raw_Data!D664</f>
        <v>Customer Representative</v>
      </c>
      <c r="D664" s="2">
        <f>Raw_Data!F664</f>
        <v>17.32</v>
      </c>
      <c r="E664" s="2" t="str">
        <f>Raw_Data!H664</f>
        <v>HOURLY</v>
      </c>
      <c r="F664" s="2">
        <f>Raw_Data!I664</f>
        <v>50</v>
      </c>
      <c r="G664" s="13">
        <f>D664*INDEX(Multiplier_Lookup!$C$6:$C$9,MATCH(E664,Multiplier_Lookup!$B$6:$B$9,0))</f>
        <v>36025.599999999999</v>
      </c>
      <c r="H664" s="2" t="str">
        <f t="shared" si="10"/>
        <v>Domino's|Customer Representative</v>
      </c>
    </row>
    <row r="665" spans="1:8" x14ac:dyDescent="0.35">
      <c r="A665" s="2" t="str">
        <f>Raw_Data!A665</f>
        <v>Domino's</v>
      </c>
      <c r="B665" s="2" t="str">
        <f>Raw_Data!C665</f>
        <v>Customer Service</v>
      </c>
      <c r="C665" s="2" t="str">
        <f>Raw_Data!D665</f>
        <v>Member Services Representative</v>
      </c>
      <c r="D665" s="2">
        <f>Raw_Data!F665</f>
        <v>12.07</v>
      </c>
      <c r="E665" s="2" t="str">
        <f>Raw_Data!H665</f>
        <v>HOURLY</v>
      </c>
      <c r="F665" s="2">
        <f>Raw_Data!I665</f>
        <v>5</v>
      </c>
      <c r="G665" s="13">
        <f>D665*INDEX(Multiplier_Lookup!$C$6:$C$9,MATCH(E665,Multiplier_Lookup!$B$6:$B$9,0))</f>
        <v>25105.600000000002</v>
      </c>
      <c r="H665" s="2" t="str">
        <f t="shared" si="10"/>
        <v>Domino's|Member Services Representative</v>
      </c>
    </row>
    <row r="666" spans="1:8" x14ac:dyDescent="0.35">
      <c r="A666" s="2" t="str">
        <f>Raw_Data!A666</f>
        <v>Domino's</v>
      </c>
      <c r="B666" s="2" t="str">
        <f>Raw_Data!C666</f>
        <v>Customer Service</v>
      </c>
      <c r="C666" s="2" t="str">
        <f>Raw_Data!D666</f>
        <v>Entry Level Customer Service Representative</v>
      </c>
      <c r="D666" s="2">
        <f>Raw_Data!F666</f>
        <v>11.81</v>
      </c>
      <c r="E666" s="2" t="str">
        <f>Raw_Data!H666</f>
        <v>HOURLY</v>
      </c>
      <c r="F666" s="2">
        <f>Raw_Data!I666</f>
        <v>5</v>
      </c>
      <c r="G666" s="13">
        <f>D666*INDEX(Multiplier_Lookup!$C$6:$C$9,MATCH(E666,Multiplier_Lookup!$B$6:$B$9,0))</f>
        <v>24564.799999999999</v>
      </c>
      <c r="H666" s="2" t="str">
        <f t="shared" si="10"/>
        <v>Domino's|Entry Level Customer Service Representative</v>
      </c>
    </row>
    <row r="667" spans="1:8" x14ac:dyDescent="0.35">
      <c r="A667" s="2" t="str">
        <f>Raw_Data!A667</f>
        <v>Domino's</v>
      </c>
      <c r="B667" s="2" t="str">
        <f>Raw_Data!C667</f>
        <v>Customer Service</v>
      </c>
      <c r="C667" s="2" t="str">
        <f>Raw_Data!D667</f>
        <v>Senior Customer Service Representative</v>
      </c>
      <c r="D667" s="2">
        <f>Raw_Data!F667</f>
        <v>11.19</v>
      </c>
      <c r="E667" s="2" t="str">
        <f>Raw_Data!H667</f>
        <v>HOURLY</v>
      </c>
      <c r="F667" s="2">
        <f>Raw_Data!I667</f>
        <v>2</v>
      </c>
      <c r="G667" s="13">
        <f>D667*INDEX(Multiplier_Lookup!$C$6:$C$9,MATCH(E667,Multiplier_Lookup!$B$6:$B$9,0))</f>
        <v>23275.200000000001</v>
      </c>
      <c r="H667" s="2" t="str">
        <f t="shared" si="10"/>
        <v>Domino's|Senior Customer Service Representative</v>
      </c>
    </row>
    <row r="668" spans="1:8" x14ac:dyDescent="0.35">
      <c r="A668" s="2" t="str">
        <f>Raw_Data!A668</f>
        <v>Domino's</v>
      </c>
      <c r="B668" s="2" t="str">
        <f>Raw_Data!C668</f>
        <v>Customer Service</v>
      </c>
      <c r="C668" s="2" t="str">
        <f>Raw_Data!D668</f>
        <v>Counter Person</v>
      </c>
      <c r="D668" s="2">
        <f>Raw_Data!F668</f>
        <v>15.52</v>
      </c>
      <c r="E668" s="2" t="str">
        <f>Raw_Data!H668</f>
        <v>HOURLY</v>
      </c>
      <c r="F668" s="2">
        <f>Raw_Data!I668</f>
        <v>2</v>
      </c>
      <c r="G668" s="13">
        <f>D668*INDEX(Multiplier_Lookup!$C$6:$C$9,MATCH(E668,Multiplier_Lookup!$B$6:$B$9,0))</f>
        <v>32281.599999999999</v>
      </c>
      <c r="H668" s="2" t="str">
        <f t="shared" si="10"/>
        <v>Domino's|Counter Person</v>
      </c>
    </row>
    <row r="669" spans="1:8" x14ac:dyDescent="0.35">
      <c r="A669" s="2" t="str">
        <f>Raw_Data!A669</f>
        <v>Domino's</v>
      </c>
      <c r="B669" s="2" t="str">
        <f>Raw_Data!C669</f>
        <v>Customer Service</v>
      </c>
      <c r="C669" s="2" t="str">
        <f>Raw_Data!D669</f>
        <v>Customer Service Team Lead</v>
      </c>
      <c r="D669" s="2">
        <f>Raw_Data!F669</f>
        <v>64809</v>
      </c>
      <c r="E669" s="2" t="str">
        <f>Raw_Data!H669</f>
        <v>YEARLY</v>
      </c>
      <c r="F669" s="2">
        <f>Raw_Data!I669</f>
        <v>1</v>
      </c>
      <c r="G669" s="13">
        <f>D669*INDEX(Multiplier_Lookup!$C$6:$C$9,MATCH(E669,Multiplier_Lookup!$B$6:$B$9,0))</f>
        <v>64809</v>
      </c>
      <c r="H669" s="2" t="str">
        <f t="shared" si="10"/>
        <v>Domino's|Customer Service Team Lead</v>
      </c>
    </row>
    <row r="670" spans="1:8" x14ac:dyDescent="0.35">
      <c r="A670" s="2" t="str">
        <f>Raw_Data!A670</f>
        <v>Domino's</v>
      </c>
      <c r="B670" s="2" t="str">
        <f>Raw_Data!C670</f>
        <v>Food Preparation &amp; Service</v>
      </c>
      <c r="C670" s="2" t="str">
        <f>Raw_Data!D670</f>
        <v>Pizza Cook</v>
      </c>
      <c r="D670" s="2">
        <f>Raw_Data!F670</f>
        <v>13.98</v>
      </c>
      <c r="E670" s="2" t="str">
        <f>Raw_Data!H670</f>
        <v>HOURLY</v>
      </c>
      <c r="F670" s="2">
        <f>Raw_Data!I670</f>
        <v>939</v>
      </c>
      <c r="G670" s="13">
        <f>D670*INDEX(Multiplier_Lookup!$C$6:$C$9,MATCH(E670,Multiplier_Lookup!$B$6:$B$9,0))</f>
        <v>29078.400000000001</v>
      </c>
      <c r="H670" s="2" t="str">
        <f t="shared" si="10"/>
        <v>Domino's|Pizza Cook</v>
      </c>
    </row>
    <row r="671" spans="1:8" x14ac:dyDescent="0.35">
      <c r="A671" s="2" t="str">
        <f>Raw_Data!A671</f>
        <v>DoorDash</v>
      </c>
      <c r="B671" s="2" t="str">
        <f>Raw_Data!C671</f>
        <v>Loading and Stocking</v>
      </c>
      <c r="C671" s="2" t="str">
        <f>Raw_Data!D671</f>
        <v>Warehouse Associate</v>
      </c>
      <c r="D671" s="2">
        <f>Raw_Data!F671</f>
        <v>15.49</v>
      </c>
      <c r="E671" s="2" t="str">
        <f>Raw_Data!H671</f>
        <v>HOURLY</v>
      </c>
      <c r="F671" s="2">
        <f>Raw_Data!I671</f>
        <v>293</v>
      </c>
      <c r="G671" s="13">
        <f>D671*INDEX(Multiplier_Lookup!$C$6:$C$9,MATCH(E671,Multiplier_Lookup!$B$6:$B$9,0))</f>
        <v>32219.200000000001</v>
      </c>
      <c r="H671" s="2" t="str">
        <f t="shared" si="10"/>
        <v>DoorDash|Warehouse Associate</v>
      </c>
    </row>
    <row r="672" spans="1:8" x14ac:dyDescent="0.35">
      <c r="A672" s="2" t="str">
        <f>Raw_Data!A672</f>
        <v>DoorDash</v>
      </c>
      <c r="B672" s="2" t="str">
        <f>Raw_Data!C672</f>
        <v>Loading and Stocking</v>
      </c>
      <c r="C672" s="2" t="str">
        <f>Raw_Data!D672</f>
        <v>Fulfillment Associate</v>
      </c>
      <c r="D672" s="2">
        <f>Raw_Data!F672</f>
        <v>111244</v>
      </c>
      <c r="E672" s="2" t="str">
        <f>Raw_Data!H672</f>
        <v>YEARLY</v>
      </c>
      <c r="F672" s="2">
        <f>Raw_Data!I672</f>
        <v>10</v>
      </c>
      <c r="G672" s="13">
        <f>D672*INDEX(Multiplier_Lookup!$C$6:$C$9,MATCH(E672,Multiplier_Lookup!$B$6:$B$9,0))</f>
        <v>111244</v>
      </c>
      <c r="H672" s="2" t="str">
        <f t="shared" si="10"/>
        <v>DoorDash|Fulfillment Associate</v>
      </c>
    </row>
    <row r="673" spans="1:8" x14ac:dyDescent="0.35">
      <c r="A673" s="2" t="str">
        <f>Raw_Data!A673</f>
        <v>DoorDash</v>
      </c>
      <c r="B673" s="2" t="str">
        <f>Raw_Data!C673</f>
        <v>Loading and Stocking</v>
      </c>
      <c r="C673" s="2" t="str">
        <f>Raw_Data!D673</f>
        <v>Seasonal Warehouse Associate</v>
      </c>
      <c r="D673" s="2">
        <f>Raw_Data!F673</f>
        <v>16.48</v>
      </c>
      <c r="E673" s="2" t="str">
        <f>Raw_Data!H673</f>
        <v>HOURLY</v>
      </c>
      <c r="F673" s="2">
        <f>Raw_Data!I673</f>
        <v>20</v>
      </c>
      <c r="G673" s="13">
        <f>D673*INDEX(Multiplier_Lookup!$C$6:$C$9,MATCH(E673,Multiplier_Lookup!$B$6:$B$9,0))</f>
        <v>34278.400000000001</v>
      </c>
      <c r="H673" s="2" t="str">
        <f t="shared" si="10"/>
        <v>DoorDash|Seasonal Warehouse Associate</v>
      </c>
    </row>
    <row r="674" spans="1:8" x14ac:dyDescent="0.35">
      <c r="A674" s="2" t="str">
        <f>Raw_Data!A674</f>
        <v>DoorDash</v>
      </c>
      <c r="B674" s="2" t="str">
        <f>Raw_Data!C674</f>
        <v>Loading and Stocking</v>
      </c>
      <c r="C674" s="2" t="str">
        <f>Raw_Data!D674</f>
        <v>Fulfillment Manager</v>
      </c>
      <c r="D674" s="2">
        <f>Raw_Data!F674</f>
        <v>90940</v>
      </c>
      <c r="E674" s="2" t="str">
        <f>Raw_Data!H674</f>
        <v>YEARLY</v>
      </c>
      <c r="F674" s="2">
        <f>Raw_Data!I674</f>
        <v>15</v>
      </c>
      <c r="G674" s="13">
        <f>D674*INDEX(Multiplier_Lookup!$C$6:$C$9,MATCH(E674,Multiplier_Lookup!$B$6:$B$9,0))</f>
        <v>90940</v>
      </c>
      <c r="H674" s="2" t="str">
        <f t="shared" si="10"/>
        <v>DoorDash|Fulfillment Manager</v>
      </c>
    </row>
    <row r="675" spans="1:8" x14ac:dyDescent="0.35">
      <c r="A675" s="2" t="str">
        <f>Raw_Data!A675</f>
        <v>DoorDash</v>
      </c>
      <c r="B675" s="2" t="str">
        <f>Raw_Data!C675</f>
        <v>Loading and Stocking</v>
      </c>
      <c r="C675" s="2" t="str">
        <f>Raw_Data!D675</f>
        <v>Stocker</v>
      </c>
      <c r="D675" s="2">
        <f>Raw_Data!F675</f>
        <v>22.91</v>
      </c>
      <c r="E675" s="2" t="str">
        <f>Raw_Data!H675</f>
        <v>HOURLY</v>
      </c>
      <c r="F675" s="2">
        <f>Raw_Data!I675</f>
        <v>4</v>
      </c>
      <c r="G675" s="13">
        <f>D675*INDEX(Multiplier_Lookup!$C$6:$C$9,MATCH(E675,Multiplier_Lookup!$B$6:$B$9,0))</f>
        <v>47652.800000000003</v>
      </c>
      <c r="H675" s="2" t="str">
        <f t="shared" si="10"/>
        <v>DoorDash|Stocker</v>
      </c>
    </row>
    <row r="676" spans="1:8" x14ac:dyDescent="0.35">
      <c r="A676" s="2" t="str">
        <f>Raw_Data!A676</f>
        <v>DoorDash</v>
      </c>
      <c r="B676" s="2" t="str">
        <f>Raw_Data!C676</f>
        <v>Loading and Stocking</v>
      </c>
      <c r="C676" s="2" t="str">
        <f>Raw_Data!D676</f>
        <v>Inventory Associate</v>
      </c>
      <c r="D676" s="2">
        <f>Raw_Data!F676</f>
        <v>92708</v>
      </c>
      <c r="E676" s="2" t="str">
        <f>Raw_Data!H676</f>
        <v>YEARLY</v>
      </c>
      <c r="F676" s="2">
        <f>Raw_Data!I676</f>
        <v>5</v>
      </c>
      <c r="G676" s="13">
        <f>D676*INDEX(Multiplier_Lookup!$C$6:$C$9,MATCH(E676,Multiplier_Lookup!$B$6:$B$9,0))</f>
        <v>92708</v>
      </c>
      <c r="H676" s="2" t="str">
        <f t="shared" si="10"/>
        <v>DoorDash|Inventory Associate</v>
      </c>
    </row>
    <row r="677" spans="1:8" x14ac:dyDescent="0.35">
      <c r="A677" s="2" t="str">
        <f>Raw_Data!A677</f>
        <v>DoorDash</v>
      </c>
      <c r="B677" s="2" t="str">
        <f>Raw_Data!C677</f>
        <v>Loading and Stocking</v>
      </c>
      <c r="C677" s="2" t="str">
        <f>Raw_Data!D677</f>
        <v>Warehouse Operations</v>
      </c>
      <c r="D677" s="2">
        <f>Raw_Data!F677</f>
        <v>32.33</v>
      </c>
      <c r="E677" s="2" t="str">
        <f>Raw_Data!H677</f>
        <v>HOURLY</v>
      </c>
      <c r="F677" s="2">
        <f>Raw_Data!I677</f>
        <v>1</v>
      </c>
      <c r="G677" s="13">
        <f>D677*INDEX(Multiplier_Lookup!$C$6:$C$9,MATCH(E677,Multiplier_Lookup!$B$6:$B$9,0))</f>
        <v>67246.399999999994</v>
      </c>
      <c r="H677" s="2" t="str">
        <f t="shared" si="10"/>
        <v>DoorDash|Warehouse Operations</v>
      </c>
    </row>
    <row r="678" spans="1:8" x14ac:dyDescent="0.35">
      <c r="A678" s="2" t="str">
        <f>Raw_Data!A678</f>
        <v>DoorDash</v>
      </c>
      <c r="B678" s="2" t="str">
        <f>Raw_Data!C678</f>
        <v>Loading and Stocking</v>
      </c>
      <c r="C678" s="2" t="str">
        <f>Raw_Data!D678</f>
        <v>Warehouse General Manager</v>
      </c>
      <c r="D678" s="2">
        <f>Raw_Data!F678</f>
        <v>89455</v>
      </c>
      <c r="E678" s="2" t="str">
        <f>Raw_Data!H678</f>
        <v>YEARLY</v>
      </c>
      <c r="F678" s="2">
        <f>Raw_Data!I678</f>
        <v>2</v>
      </c>
      <c r="G678" s="13">
        <f>D678*INDEX(Multiplier_Lookup!$C$6:$C$9,MATCH(E678,Multiplier_Lookup!$B$6:$B$9,0))</f>
        <v>89455</v>
      </c>
      <c r="H678" s="2" t="str">
        <f t="shared" si="10"/>
        <v>DoorDash|Warehouse General Manager</v>
      </c>
    </row>
    <row r="679" spans="1:8" x14ac:dyDescent="0.35">
      <c r="A679" s="2" t="str">
        <f>Raw_Data!A679</f>
        <v>DoorDash</v>
      </c>
      <c r="B679" s="2" t="str">
        <f>Raw_Data!C679</f>
        <v>Loading and Stocking</v>
      </c>
      <c r="C679" s="2" t="str">
        <f>Raw_Data!D679</f>
        <v>Warehouse Operations Manager</v>
      </c>
      <c r="D679" s="2">
        <f>Raw_Data!F679</f>
        <v>181536</v>
      </c>
      <c r="E679" s="2" t="str">
        <f>Raw_Data!H679</f>
        <v>YEARLY</v>
      </c>
      <c r="F679" s="2">
        <f>Raw_Data!I679</f>
        <v>1</v>
      </c>
      <c r="G679" s="13">
        <f>D679*INDEX(Multiplier_Lookup!$C$6:$C$9,MATCH(E679,Multiplier_Lookup!$B$6:$B$9,0))</f>
        <v>181536</v>
      </c>
      <c r="H679" s="2" t="str">
        <f t="shared" si="10"/>
        <v>DoorDash|Warehouse Operations Manager</v>
      </c>
    </row>
    <row r="680" spans="1:8" x14ac:dyDescent="0.35">
      <c r="A680" s="2" t="str">
        <f>Raw_Data!A680</f>
        <v>DoorDash</v>
      </c>
      <c r="B680" s="2" t="str">
        <f>Raw_Data!C680</f>
        <v>Software Development</v>
      </c>
      <c r="C680" s="2" t="str">
        <f>Raw_Data!D680</f>
        <v>Software Engineer</v>
      </c>
      <c r="D680" s="2">
        <f>Raw_Data!F680</f>
        <v>170152</v>
      </c>
      <c r="E680" s="2" t="str">
        <f>Raw_Data!H680</f>
        <v>YEARLY</v>
      </c>
      <c r="F680" s="2">
        <f>Raw_Data!I680</f>
        <v>80</v>
      </c>
      <c r="G680" s="13">
        <f>D680*INDEX(Multiplier_Lookup!$C$6:$C$9,MATCH(E680,Multiplier_Lookup!$B$6:$B$9,0))</f>
        <v>170152</v>
      </c>
      <c r="H680" s="2" t="str">
        <f t="shared" si="10"/>
        <v>DoorDash|Software Engineer</v>
      </c>
    </row>
    <row r="681" spans="1:8" x14ac:dyDescent="0.35">
      <c r="A681" s="2" t="str">
        <f>Raw_Data!A681</f>
        <v>PayPal</v>
      </c>
      <c r="B681" s="2" t="str">
        <f>Raw_Data!C681</f>
        <v>Sales</v>
      </c>
      <c r="C681" s="2" t="str">
        <f>Raw_Data!D681</f>
        <v>Account Executive</v>
      </c>
      <c r="D681" s="2">
        <f>Raw_Data!F681</f>
        <v>64093</v>
      </c>
      <c r="E681" s="2" t="str">
        <f>Raw_Data!H681</f>
        <v>YEARLY</v>
      </c>
      <c r="F681" s="2">
        <f>Raw_Data!I681</f>
        <v>10</v>
      </c>
      <c r="G681" s="13">
        <f>D681*INDEX(Multiplier_Lookup!$C$6:$C$9,MATCH(E681,Multiplier_Lookup!$B$6:$B$9,0))</f>
        <v>64093</v>
      </c>
      <c r="H681" s="2" t="str">
        <f t="shared" si="10"/>
        <v>PayPal|Account Executive</v>
      </c>
    </row>
    <row r="682" spans="1:8" x14ac:dyDescent="0.35">
      <c r="A682" s="2" t="str">
        <f>Raw_Data!A682</f>
        <v>PayPal</v>
      </c>
      <c r="B682" s="2" t="str">
        <f>Raw_Data!C682</f>
        <v>Sales</v>
      </c>
      <c r="C682" s="2" t="str">
        <f>Raw_Data!D682</f>
        <v>Solution Specialist</v>
      </c>
      <c r="D682" s="2">
        <f>Raw_Data!F682</f>
        <v>38647</v>
      </c>
      <c r="E682" s="2" t="str">
        <f>Raw_Data!H682</f>
        <v>YEARLY</v>
      </c>
      <c r="F682" s="2">
        <f>Raw_Data!I682</f>
        <v>10</v>
      </c>
      <c r="G682" s="13">
        <f>D682*INDEX(Multiplier_Lookup!$C$6:$C$9,MATCH(E682,Multiplier_Lookup!$B$6:$B$9,0))</f>
        <v>38647</v>
      </c>
      <c r="H682" s="2" t="str">
        <f t="shared" si="10"/>
        <v>PayPal|Solution Specialist</v>
      </c>
    </row>
    <row r="683" spans="1:8" x14ac:dyDescent="0.35">
      <c r="A683" s="2" t="str">
        <f>Raw_Data!A683</f>
        <v>PayPal</v>
      </c>
      <c r="B683" s="2" t="str">
        <f>Raw_Data!C683</f>
        <v>Sales</v>
      </c>
      <c r="C683" s="2" t="str">
        <f>Raw_Data!D683</f>
        <v>Collection Agent</v>
      </c>
      <c r="D683" s="2">
        <f>Raw_Data!F683</f>
        <v>52309</v>
      </c>
      <c r="E683" s="2" t="str">
        <f>Raw_Data!H683</f>
        <v>YEARLY</v>
      </c>
      <c r="F683" s="2">
        <f>Raw_Data!I683</f>
        <v>7</v>
      </c>
      <c r="G683" s="13">
        <f>D683*INDEX(Multiplier_Lookup!$C$6:$C$9,MATCH(E683,Multiplier_Lookup!$B$6:$B$9,0))</f>
        <v>52309</v>
      </c>
      <c r="H683" s="2" t="str">
        <f t="shared" si="10"/>
        <v>PayPal|Collection Agent</v>
      </c>
    </row>
    <row r="684" spans="1:8" x14ac:dyDescent="0.35">
      <c r="A684" s="2" t="str">
        <f>Raw_Data!A684</f>
        <v>PayPal</v>
      </c>
      <c r="B684" s="2" t="str">
        <f>Raw_Data!C684</f>
        <v>Sales</v>
      </c>
      <c r="C684" s="2" t="str">
        <f>Raw_Data!D684</f>
        <v>Technical Account Manager</v>
      </c>
      <c r="D684" s="2">
        <f>Raw_Data!F684</f>
        <v>146614</v>
      </c>
      <c r="E684" s="2" t="str">
        <f>Raw_Data!H684</f>
        <v>YEARLY</v>
      </c>
      <c r="F684" s="2">
        <f>Raw_Data!I684</f>
        <v>4</v>
      </c>
      <c r="G684" s="13">
        <f>D684*INDEX(Multiplier_Lookup!$C$6:$C$9,MATCH(E684,Multiplier_Lookup!$B$6:$B$9,0))</f>
        <v>146614</v>
      </c>
      <c r="H684" s="2" t="str">
        <f t="shared" si="10"/>
        <v>PayPal|Technical Account Manager</v>
      </c>
    </row>
    <row r="685" spans="1:8" x14ac:dyDescent="0.35">
      <c r="A685" s="2" t="str">
        <f>Raw_Data!A685</f>
        <v>PayPal</v>
      </c>
      <c r="B685" s="2" t="str">
        <f>Raw_Data!C685</f>
        <v>Sales</v>
      </c>
      <c r="C685" s="2" t="str">
        <f>Raw_Data!D685</f>
        <v>Senior Account Manager</v>
      </c>
      <c r="D685" s="2">
        <f>Raw_Data!F685</f>
        <v>222400</v>
      </c>
      <c r="E685" s="2" t="str">
        <f>Raw_Data!H685</f>
        <v>YEARLY</v>
      </c>
      <c r="F685" s="2">
        <f>Raw_Data!I685</f>
        <v>3</v>
      </c>
      <c r="G685" s="13">
        <f>D685*INDEX(Multiplier_Lookup!$C$6:$C$9,MATCH(E685,Multiplier_Lookup!$B$6:$B$9,0))</f>
        <v>222400</v>
      </c>
      <c r="H685" s="2" t="str">
        <f t="shared" si="10"/>
        <v>PayPal|Senior Account Manager</v>
      </c>
    </row>
    <row r="686" spans="1:8" x14ac:dyDescent="0.35">
      <c r="A686" s="2" t="str">
        <f>Raw_Data!A686</f>
        <v>PayPal</v>
      </c>
      <c r="B686" s="2" t="str">
        <f>Raw_Data!C686</f>
        <v>Sales</v>
      </c>
      <c r="C686" s="2" t="str">
        <f>Raw_Data!D686</f>
        <v>Solutions Engineer</v>
      </c>
      <c r="D686" s="2">
        <f>Raw_Data!F686</f>
        <v>101132</v>
      </c>
      <c r="E686" s="2" t="str">
        <f>Raw_Data!H686</f>
        <v>YEARLY</v>
      </c>
      <c r="F686" s="2">
        <f>Raw_Data!I686</f>
        <v>2</v>
      </c>
      <c r="G686" s="13">
        <f>D686*INDEX(Multiplier_Lookup!$C$6:$C$9,MATCH(E686,Multiplier_Lookup!$B$6:$B$9,0))</f>
        <v>101132</v>
      </c>
      <c r="H686" s="2" t="str">
        <f t="shared" si="10"/>
        <v>PayPal|Solutions Engineer</v>
      </c>
    </row>
    <row r="687" spans="1:8" x14ac:dyDescent="0.35">
      <c r="A687" s="2" t="str">
        <f>Raw_Data!A687</f>
        <v>PayPal</v>
      </c>
      <c r="B687" s="2" t="str">
        <f>Raw_Data!C687</f>
        <v>Sales</v>
      </c>
      <c r="C687" s="2" t="str">
        <f>Raw_Data!D687</f>
        <v>Enterprise Account Manager</v>
      </c>
      <c r="D687" s="2">
        <f>Raw_Data!F687</f>
        <v>288169</v>
      </c>
      <c r="E687" s="2" t="str">
        <f>Raw_Data!H687</f>
        <v>YEARLY</v>
      </c>
      <c r="F687" s="2">
        <f>Raw_Data!I687</f>
        <v>2</v>
      </c>
      <c r="G687" s="13">
        <f>D687*INDEX(Multiplier_Lookup!$C$6:$C$9,MATCH(E687,Multiplier_Lookup!$B$6:$B$9,0))</f>
        <v>288169</v>
      </c>
      <c r="H687" s="2" t="str">
        <f t="shared" si="10"/>
        <v>PayPal|Enterprise Account Manager</v>
      </c>
    </row>
    <row r="688" spans="1:8" x14ac:dyDescent="0.35">
      <c r="A688" s="2" t="str">
        <f>Raw_Data!A688</f>
        <v>PayPal</v>
      </c>
      <c r="B688" s="2" t="str">
        <f>Raw_Data!C688</f>
        <v>Sales</v>
      </c>
      <c r="C688" s="2" t="str">
        <f>Raw_Data!D688</f>
        <v>Collection Manager</v>
      </c>
      <c r="D688" s="2">
        <f>Raw_Data!F688</f>
        <v>88793</v>
      </c>
      <c r="E688" s="2" t="str">
        <f>Raw_Data!H688</f>
        <v>YEARLY</v>
      </c>
      <c r="F688" s="2">
        <f>Raw_Data!I688</f>
        <v>2</v>
      </c>
      <c r="G688" s="13">
        <f>D688*INDEX(Multiplier_Lookup!$C$6:$C$9,MATCH(E688,Multiplier_Lookup!$B$6:$B$9,0))</f>
        <v>88793</v>
      </c>
      <c r="H688" s="2" t="str">
        <f t="shared" si="10"/>
        <v>PayPal|Collection Manager</v>
      </c>
    </row>
    <row r="689" spans="1:8" x14ac:dyDescent="0.35">
      <c r="A689" s="2" t="str">
        <f>Raw_Data!A689</f>
        <v>PayPal</v>
      </c>
      <c r="B689" s="2" t="str">
        <f>Raw_Data!C689</f>
        <v>Sales</v>
      </c>
      <c r="C689" s="2" t="str">
        <f>Raw_Data!D689</f>
        <v>Vendor</v>
      </c>
      <c r="D689" s="2">
        <f>Raw_Data!F689</f>
        <v>200514</v>
      </c>
      <c r="E689" s="2" t="str">
        <f>Raw_Data!H689</f>
        <v>YEARLY</v>
      </c>
      <c r="F689" s="2">
        <f>Raw_Data!I689</f>
        <v>1</v>
      </c>
      <c r="G689" s="13">
        <f>D689*INDEX(Multiplier_Lookup!$C$6:$C$9,MATCH(E689,Multiplier_Lookup!$B$6:$B$9,0))</f>
        <v>200514</v>
      </c>
      <c r="H689" s="2" t="str">
        <f t="shared" si="10"/>
        <v>PayPal|Vendor</v>
      </c>
    </row>
    <row r="690" spans="1:8" x14ac:dyDescent="0.35">
      <c r="A690" s="2" t="str">
        <f>Raw_Data!A690</f>
        <v>PayPal</v>
      </c>
      <c r="B690" s="2" t="str">
        <f>Raw_Data!C690</f>
        <v>Sales</v>
      </c>
      <c r="C690" s="2" t="str">
        <f>Raw_Data!D690</f>
        <v>Senior Sales Director</v>
      </c>
      <c r="D690" s="2">
        <f>Raw_Data!F690</f>
        <v>423415</v>
      </c>
      <c r="E690" s="2" t="str">
        <f>Raw_Data!H690</f>
        <v>YEARLY</v>
      </c>
      <c r="F690" s="2">
        <f>Raw_Data!I690</f>
        <v>1</v>
      </c>
      <c r="G690" s="13">
        <f>D690*INDEX(Multiplier_Lookup!$C$6:$C$9,MATCH(E690,Multiplier_Lookup!$B$6:$B$9,0))</f>
        <v>423415</v>
      </c>
      <c r="H690" s="2" t="str">
        <f t="shared" si="10"/>
        <v>PayPal|Senior Sales Director</v>
      </c>
    </row>
    <row r="691" spans="1:8" x14ac:dyDescent="0.35">
      <c r="A691" s="2" t="str">
        <f>Raw_Data!A691</f>
        <v>Airbnb</v>
      </c>
      <c r="B691" s="2" t="str">
        <f>Raw_Data!C691</f>
        <v>Management</v>
      </c>
      <c r="C691" s="2" t="str">
        <f>Raw_Data!D691</f>
        <v>Senior Manager</v>
      </c>
      <c r="D691" s="2">
        <f>Raw_Data!F691</f>
        <v>222382</v>
      </c>
      <c r="E691" s="2" t="str">
        <f>Raw_Data!H691</f>
        <v>YEARLY</v>
      </c>
      <c r="F691" s="2">
        <f>Raw_Data!I691</f>
        <v>6</v>
      </c>
      <c r="G691" s="13">
        <f>D691*INDEX(Multiplier_Lookup!$C$6:$C$9,MATCH(E691,Multiplier_Lookup!$B$6:$B$9,0))</f>
        <v>222382</v>
      </c>
      <c r="H691" s="2" t="str">
        <f t="shared" si="10"/>
        <v>Airbnb|Senior Manager</v>
      </c>
    </row>
    <row r="692" spans="1:8" x14ac:dyDescent="0.35">
      <c r="A692" s="2" t="str">
        <f>Raw_Data!A692</f>
        <v>Airbnb</v>
      </c>
      <c r="B692" s="2" t="str">
        <f>Raw_Data!C692</f>
        <v>Management</v>
      </c>
      <c r="C692" s="2" t="str">
        <f>Raw_Data!D692</f>
        <v>Manager</v>
      </c>
      <c r="D692" s="2">
        <f>Raw_Data!F692</f>
        <v>179512</v>
      </c>
      <c r="E692" s="2" t="str">
        <f>Raw_Data!H692</f>
        <v>YEARLY</v>
      </c>
      <c r="F692" s="2">
        <f>Raw_Data!I692</f>
        <v>6</v>
      </c>
      <c r="G692" s="13">
        <f>D692*INDEX(Multiplier_Lookup!$C$6:$C$9,MATCH(E692,Multiplier_Lookup!$B$6:$B$9,0))</f>
        <v>179512</v>
      </c>
      <c r="H692" s="2" t="str">
        <f t="shared" si="10"/>
        <v>Airbnb|Manager</v>
      </c>
    </row>
    <row r="693" spans="1:8" x14ac:dyDescent="0.35">
      <c r="A693" s="2" t="str">
        <f>Raw_Data!A693</f>
        <v>Airbnb</v>
      </c>
      <c r="B693" s="2" t="str">
        <f>Raw_Data!C693</f>
        <v>Management</v>
      </c>
      <c r="C693" s="2" t="str">
        <f>Raw_Data!D693</f>
        <v>Director</v>
      </c>
      <c r="D693" s="2">
        <f>Raw_Data!F693</f>
        <v>308137</v>
      </c>
      <c r="E693" s="2" t="str">
        <f>Raw_Data!H693</f>
        <v>YEARLY</v>
      </c>
      <c r="F693" s="2">
        <f>Raw_Data!I693</f>
        <v>3</v>
      </c>
      <c r="G693" s="13">
        <f>D693*INDEX(Multiplier_Lookup!$C$6:$C$9,MATCH(E693,Multiplier_Lookup!$B$6:$B$9,0))</f>
        <v>308137</v>
      </c>
      <c r="H693" s="2" t="str">
        <f t="shared" si="10"/>
        <v>Airbnb|Director</v>
      </c>
    </row>
    <row r="694" spans="1:8" x14ac:dyDescent="0.35">
      <c r="A694" s="2" t="str">
        <f>Raw_Data!A694</f>
        <v>Airbnb</v>
      </c>
      <c r="B694" s="2" t="str">
        <f>Raw_Data!C694</f>
        <v>Management</v>
      </c>
      <c r="C694" s="2" t="str">
        <f>Raw_Data!D694</f>
        <v>Shift Leader</v>
      </c>
      <c r="D694" s="2">
        <f>Raw_Data!F694</f>
        <v>16949</v>
      </c>
      <c r="E694" s="2" t="str">
        <f>Raw_Data!H694</f>
        <v>MONTHLY</v>
      </c>
      <c r="F694" s="2">
        <f>Raw_Data!I694</f>
        <v>1</v>
      </c>
      <c r="G694" s="13">
        <f>D694*INDEX(Multiplier_Lookup!$C$6:$C$9,MATCH(E694,Multiplier_Lookup!$B$6:$B$9,0))</f>
        <v>203388</v>
      </c>
      <c r="H694" s="2" t="str">
        <f t="shared" si="10"/>
        <v>Airbnb|Shift Leader</v>
      </c>
    </row>
    <row r="695" spans="1:8" x14ac:dyDescent="0.35">
      <c r="A695" s="2" t="str">
        <f>Raw_Data!A695</f>
        <v>Airbnb</v>
      </c>
      <c r="B695" s="2" t="str">
        <f>Raw_Data!C695</f>
        <v>Management</v>
      </c>
      <c r="C695" s="2" t="str">
        <f>Raw_Data!D695</f>
        <v>Operations Lead</v>
      </c>
      <c r="D695" s="2">
        <f>Raw_Data!F695</f>
        <v>17788</v>
      </c>
      <c r="E695" s="2" t="str">
        <f>Raw_Data!H695</f>
        <v>MONTHLY</v>
      </c>
      <c r="F695" s="2">
        <f>Raw_Data!I695</f>
        <v>1</v>
      </c>
      <c r="G695" s="13">
        <f>D695*INDEX(Multiplier_Lookup!$C$6:$C$9,MATCH(E695,Multiplier_Lookup!$B$6:$B$9,0))</f>
        <v>213456</v>
      </c>
      <c r="H695" s="2" t="str">
        <f t="shared" si="10"/>
        <v>Airbnb|Operations Lead</v>
      </c>
    </row>
    <row r="696" spans="1:8" x14ac:dyDescent="0.35">
      <c r="A696" s="2" t="str">
        <f>Raw_Data!A696</f>
        <v>Airbnb</v>
      </c>
      <c r="B696" s="2" t="str">
        <f>Raw_Data!C696</f>
        <v>Project Management</v>
      </c>
      <c r="C696" s="2" t="str">
        <f>Raw_Data!D696</f>
        <v>Program Manager</v>
      </c>
      <c r="D696" s="2">
        <f>Raw_Data!F696</f>
        <v>168937</v>
      </c>
      <c r="E696" s="2" t="str">
        <f>Raw_Data!H696</f>
        <v>YEARLY</v>
      </c>
      <c r="F696" s="2">
        <f>Raw_Data!I696</f>
        <v>7</v>
      </c>
      <c r="G696" s="13">
        <f>D696*INDEX(Multiplier_Lookup!$C$6:$C$9,MATCH(E696,Multiplier_Lookup!$B$6:$B$9,0))</f>
        <v>168937</v>
      </c>
      <c r="H696" s="2" t="str">
        <f t="shared" si="10"/>
        <v>Airbnb|Program Manager</v>
      </c>
    </row>
    <row r="697" spans="1:8" x14ac:dyDescent="0.35">
      <c r="A697" s="2" t="str">
        <f>Raw_Data!A697</f>
        <v>Airbnb</v>
      </c>
      <c r="B697" s="2" t="str">
        <f>Raw_Data!C697</f>
        <v>Project Management</v>
      </c>
      <c r="C697" s="2" t="str">
        <f>Raw_Data!D697</f>
        <v>Senior Program Manager</v>
      </c>
      <c r="D697" s="2">
        <f>Raw_Data!F697</f>
        <v>169006</v>
      </c>
      <c r="E697" s="2" t="str">
        <f>Raw_Data!H697</f>
        <v>YEARLY</v>
      </c>
      <c r="F697" s="2">
        <f>Raw_Data!I697</f>
        <v>6</v>
      </c>
      <c r="G697" s="13">
        <f>D697*INDEX(Multiplier_Lookup!$C$6:$C$9,MATCH(E697,Multiplier_Lookup!$B$6:$B$9,0))</f>
        <v>169006</v>
      </c>
      <c r="H697" s="2" t="str">
        <f t="shared" si="10"/>
        <v>Airbnb|Senior Program Manager</v>
      </c>
    </row>
    <row r="698" spans="1:8" x14ac:dyDescent="0.35">
      <c r="A698" s="2" t="str">
        <f>Raw_Data!A698</f>
        <v>Airbnb</v>
      </c>
      <c r="B698" s="2" t="str">
        <f>Raw_Data!C698</f>
        <v>Mathematics</v>
      </c>
      <c r="C698" s="2" t="str">
        <f>Raw_Data!D698</f>
        <v>Data Scientist</v>
      </c>
      <c r="D698" s="2">
        <f>Raw_Data!F698</f>
        <v>210356</v>
      </c>
      <c r="E698" s="2" t="str">
        <f>Raw_Data!H698</f>
        <v>YEARLY</v>
      </c>
      <c r="F698" s="2">
        <f>Raw_Data!I698</f>
        <v>8</v>
      </c>
      <c r="G698" s="13">
        <f>D698*INDEX(Multiplier_Lookup!$C$6:$C$9,MATCH(E698,Multiplier_Lookup!$B$6:$B$9,0))</f>
        <v>210356</v>
      </c>
      <c r="H698" s="2" t="str">
        <f t="shared" si="10"/>
        <v>Airbnb|Data Scientist</v>
      </c>
    </row>
    <row r="699" spans="1:8" x14ac:dyDescent="0.35">
      <c r="A699" s="2" t="str">
        <f>Raw_Data!A699</f>
        <v>Airbnb</v>
      </c>
      <c r="B699" s="2" t="str">
        <f>Raw_Data!C699</f>
        <v>Mathematics</v>
      </c>
      <c r="C699" s="2" t="str">
        <f>Raw_Data!D699</f>
        <v>Data Analyst</v>
      </c>
      <c r="D699" s="2">
        <f>Raw_Data!F699</f>
        <v>135622</v>
      </c>
      <c r="E699" s="2" t="str">
        <f>Raw_Data!H699</f>
        <v>YEARLY</v>
      </c>
      <c r="F699" s="2">
        <f>Raw_Data!I699</f>
        <v>3</v>
      </c>
      <c r="G699" s="13">
        <f>D699*INDEX(Multiplier_Lookup!$C$6:$C$9,MATCH(E699,Multiplier_Lookup!$B$6:$B$9,0))</f>
        <v>135622</v>
      </c>
      <c r="H699" s="2" t="str">
        <f t="shared" si="10"/>
        <v>Airbnb|Data Analyst</v>
      </c>
    </row>
    <row r="700" spans="1:8" x14ac:dyDescent="0.35">
      <c r="A700" s="2" t="str">
        <f>Raw_Data!A700</f>
        <v>Airbnb</v>
      </c>
      <c r="B700" s="2" t="str">
        <f>Raw_Data!C700</f>
        <v>Arts &amp; Entertainment</v>
      </c>
      <c r="C700" s="2" t="str">
        <f>Raw_Data!D700</f>
        <v>Designer</v>
      </c>
      <c r="D700" s="2">
        <f>Raw_Data!F700</f>
        <v>163041</v>
      </c>
      <c r="E700" s="2" t="str">
        <f>Raw_Data!H700</f>
        <v>YEARLY</v>
      </c>
      <c r="F700" s="2">
        <f>Raw_Data!I700</f>
        <v>6</v>
      </c>
      <c r="G700" s="13">
        <f>D700*INDEX(Multiplier_Lookup!$C$6:$C$9,MATCH(E700,Multiplier_Lookup!$B$6:$B$9,0))</f>
        <v>163041</v>
      </c>
      <c r="H700" s="2" t="str">
        <f t="shared" si="10"/>
        <v>Airbnb|Designer</v>
      </c>
    </row>
    <row r="701" spans="1:8" x14ac:dyDescent="0.35">
      <c r="A701" s="2" t="str">
        <f>Raw_Data!A701</f>
        <v>Panera Bread</v>
      </c>
      <c r="B701" s="2" t="str">
        <f>Raw_Data!C701</f>
        <v>Retail</v>
      </c>
      <c r="C701" s="2" t="str">
        <f>Raw_Data!D701</f>
        <v>Customer Service Associate / Cashier</v>
      </c>
      <c r="D701" s="2">
        <f>Raw_Data!F701</f>
        <v>14.34</v>
      </c>
      <c r="E701" s="2" t="str">
        <f>Raw_Data!H701</f>
        <v>HOURLY</v>
      </c>
      <c r="F701" s="2">
        <f>Raw_Data!I701</f>
        <v>183</v>
      </c>
      <c r="G701" s="13">
        <f>D701*INDEX(Multiplier_Lookup!$C$6:$C$9,MATCH(E701,Multiplier_Lookup!$B$6:$B$9,0))</f>
        <v>29827.200000000001</v>
      </c>
      <c r="H701" s="2" t="str">
        <f t="shared" si="10"/>
        <v>Panera Bread|Customer Service Associate / Cashier</v>
      </c>
    </row>
    <row r="702" spans="1:8" x14ac:dyDescent="0.35">
      <c r="A702" s="2" t="str">
        <f>Raw_Data!A702</f>
        <v>Panera Bread</v>
      </c>
      <c r="B702" s="2" t="str">
        <f>Raw_Data!C702</f>
        <v>Retail</v>
      </c>
      <c r="C702" s="2" t="str">
        <f>Raw_Data!D702</f>
        <v>Cashier</v>
      </c>
      <c r="D702" s="2">
        <f>Raw_Data!F702</f>
        <v>14.65</v>
      </c>
      <c r="E702" s="2" t="str">
        <f>Raw_Data!H702</f>
        <v>HOURLY</v>
      </c>
      <c r="F702" s="2">
        <f>Raw_Data!I702</f>
        <v>36</v>
      </c>
      <c r="G702" s="13">
        <f>D702*INDEX(Multiplier_Lookup!$C$6:$C$9,MATCH(E702,Multiplier_Lookup!$B$6:$B$9,0))</f>
        <v>30472</v>
      </c>
      <c r="H702" s="2" t="str">
        <f t="shared" si="10"/>
        <v>Panera Bread|Cashier</v>
      </c>
    </row>
    <row r="703" spans="1:8" x14ac:dyDescent="0.35">
      <c r="A703" s="2" t="str">
        <f>Raw_Data!A703</f>
        <v>Panera Bread</v>
      </c>
      <c r="B703" s="2" t="str">
        <f>Raw_Data!C703</f>
        <v>Retail</v>
      </c>
      <c r="C703" s="2" t="str">
        <f>Raw_Data!D703</f>
        <v>Retail Sales Associate</v>
      </c>
      <c r="D703" s="2">
        <f>Raw_Data!F703</f>
        <v>16.760000000000002</v>
      </c>
      <c r="E703" s="2" t="str">
        <f>Raw_Data!H703</f>
        <v>HOURLY</v>
      </c>
      <c r="F703" s="2">
        <f>Raw_Data!I703</f>
        <v>133</v>
      </c>
      <c r="G703" s="13">
        <f>D703*INDEX(Multiplier_Lookup!$C$6:$C$9,MATCH(E703,Multiplier_Lookup!$B$6:$B$9,0))</f>
        <v>34860.800000000003</v>
      </c>
      <c r="H703" s="2" t="str">
        <f t="shared" si="10"/>
        <v>Panera Bread|Retail Sales Associate</v>
      </c>
    </row>
    <row r="704" spans="1:8" x14ac:dyDescent="0.35">
      <c r="A704" s="2" t="str">
        <f>Raw_Data!A704</f>
        <v>Panera Bread</v>
      </c>
      <c r="B704" s="2" t="str">
        <f>Raw_Data!C704</f>
        <v>Retail</v>
      </c>
      <c r="C704" s="2" t="str">
        <f>Raw_Data!D704</f>
        <v>Opener</v>
      </c>
      <c r="D704" s="2">
        <f>Raw_Data!F704</f>
        <v>11.04</v>
      </c>
      <c r="E704" s="2" t="str">
        <f>Raw_Data!H704</f>
        <v>HOURLY</v>
      </c>
      <c r="F704" s="2">
        <f>Raw_Data!I704</f>
        <v>157</v>
      </c>
      <c r="G704" s="13">
        <f>D704*INDEX(Multiplier_Lookup!$C$6:$C$9,MATCH(E704,Multiplier_Lookup!$B$6:$B$9,0))</f>
        <v>22963.199999999997</v>
      </c>
      <c r="H704" s="2" t="str">
        <f t="shared" si="10"/>
        <v>Panera Bread|Opener</v>
      </c>
    </row>
    <row r="705" spans="1:8" x14ac:dyDescent="0.35">
      <c r="A705" s="2" t="str">
        <f>Raw_Data!A705</f>
        <v>Panera Bread</v>
      </c>
      <c r="B705" s="2" t="str">
        <f>Raw_Data!C705</f>
        <v>Retail</v>
      </c>
      <c r="C705" s="2" t="str">
        <f>Raw_Data!D705</f>
        <v>Cashier/Sales</v>
      </c>
      <c r="D705" s="2">
        <f>Raw_Data!F705</f>
        <v>12.07</v>
      </c>
      <c r="E705" s="2" t="str">
        <f>Raw_Data!H705</f>
        <v>HOURLY</v>
      </c>
      <c r="F705" s="2">
        <f>Raw_Data!I705</f>
        <v>16</v>
      </c>
      <c r="G705" s="13">
        <f>D705*INDEX(Multiplier_Lookup!$C$6:$C$9,MATCH(E705,Multiplier_Lookup!$B$6:$B$9,0))</f>
        <v>25105.600000000002</v>
      </c>
      <c r="H705" s="2" t="str">
        <f t="shared" si="10"/>
        <v>Panera Bread|Cashier/Sales</v>
      </c>
    </row>
    <row r="706" spans="1:8" x14ac:dyDescent="0.35">
      <c r="A706" s="2" t="str">
        <f>Raw_Data!A706</f>
        <v>Panera Bread</v>
      </c>
      <c r="B706" s="2" t="str">
        <f>Raw_Data!C706</f>
        <v>Retail</v>
      </c>
      <c r="C706" s="2" t="str">
        <f>Raw_Data!D706</f>
        <v>Retail Team Leader</v>
      </c>
      <c r="D706" s="2">
        <f>Raw_Data!F706</f>
        <v>13.63</v>
      </c>
      <c r="E706" s="2" t="str">
        <f>Raw_Data!H706</f>
        <v>HOURLY</v>
      </c>
      <c r="F706" s="2">
        <f>Raw_Data!I706</f>
        <v>46</v>
      </c>
      <c r="G706" s="13">
        <f>D706*INDEX(Multiplier_Lookup!$C$6:$C$9,MATCH(E706,Multiplier_Lookup!$B$6:$B$9,0))</f>
        <v>28350.400000000001</v>
      </c>
      <c r="H706" s="2" t="str">
        <f t="shared" ref="H706:H769" si="11">A706&amp;"|"&amp;C706</f>
        <v>Panera Bread|Retail Team Leader</v>
      </c>
    </row>
    <row r="707" spans="1:8" x14ac:dyDescent="0.35">
      <c r="A707" s="2" t="str">
        <f>Raw_Data!A707</f>
        <v>Panera Bread</v>
      </c>
      <c r="B707" s="2" t="str">
        <f>Raw_Data!C707</f>
        <v>Retail</v>
      </c>
      <c r="C707" s="2" t="str">
        <f>Raw_Data!D707</f>
        <v>Overnight Closer</v>
      </c>
      <c r="D707" s="2">
        <f>Raw_Data!F707</f>
        <v>12.41</v>
      </c>
      <c r="E707" s="2" t="str">
        <f>Raw_Data!H707</f>
        <v>HOURLY</v>
      </c>
      <c r="F707" s="2">
        <f>Raw_Data!I707</f>
        <v>22</v>
      </c>
      <c r="G707" s="13">
        <f>D707*INDEX(Multiplier_Lookup!$C$6:$C$9,MATCH(E707,Multiplier_Lookup!$B$6:$B$9,0))</f>
        <v>25812.799999999999</v>
      </c>
      <c r="H707" s="2" t="str">
        <f t="shared" si="11"/>
        <v>Panera Bread|Overnight Closer</v>
      </c>
    </row>
    <row r="708" spans="1:8" x14ac:dyDescent="0.35">
      <c r="A708" s="2" t="str">
        <f>Raw_Data!A708</f>
        <v>Panera Bread</v>
      </c>
      <c r="B708" s="2" t="str">
        <f>Raw_Data!C708</f>
        <v>Retail</v>
      </c>
      <c r="C708" s="2" t="str">
        <f>Raw_Data!D708</f>
        <v>Lead Cashier</v>
      </c>
      <c r="D708" s="2">
        <f>Raw_Data!F708</f>
        <v>15.97</v>
      </c>
      <c r="E708" s="2" t="str">
        <f>Raw_Data!H708</f>
        <v>HOURLY</v>
      </c>
      <c r="F708" s="2">
        <f>Raw_Data!I708</f>
        <v>22</v>
      </c>
      <c r="G708" s="13">
        <f>D708*INDEX(Multiplier_Lookup!$C$6:$C$9,MATCH(E708,Multiplier_Lookup!$B$6:$B$9,0))</f>
        <v>33217.599999999999</v>
      </c>
      <c r="H708" s="2" t="str">
        <f t="shared" si="11"/>
        <v>Panera Bread|Lead Cashier</v>
      </c>
    </row>
    <row r="709" spans="1:8" x14ac:dyDescent="0.35">
      <c r="A709" s="2" t="str">
        <f>Raw_Data!A709</f>
        <v>Panera Bread</v>
      </c>
      <c r="B709" s="2" t="str">
        <f>Raw_Data!C709</f>
        <v>Retail</v>
      </c>
      <c r="C709" s="2" t="str">
        <f>Raw_Data!D709</f>
        <v>Cashier/Stocker</v>
      </c>
      <c r="D709" s="2">
        <f>Raw_Data!F709</f>
        <v>15.14</v>
      </c>
      <c r="E709" s="2" t="str">
        <f>Raw_Data!H709</f>
        <v>HOURLY</v>
      </c>
      <c r="F709" s="2">
        <f>Raw_Data!I709</f>
        <v>9</v>
      </c>
      <c r="G709" s="13">
        <f>D709*INDEX(Multiplier_Lookup!$C$6:$C$9,MATCH(E709,Multiplier_Lookup!$B$6:$B$9,0))</f>
        <v>31491.200000000001</v>
      </c>
      <c r="H709" s="2" t="str">
        <f t="shared" si="11"/>
        <v>Panera Bread|Cashier/Stocker</v>
      </c>
    </row>
    <row r="710" spans="1:8" x14ac:dyDescent="0.35">
      <c r="A710" s="2" t="str">
        <f>Raw_Data!A710</f>
        <v>Panera Bread</v>
      </c>
      <c r="B710" s="2" t="str">
        <f>Raw_Data!C710</f>
        <v>Retail</v>
      </c>
      <c r="C710" s="2" t="str">
        <f>Raw_Data!D710</f>
        <v>Checker</v>
      </c>
      <c r="D710" s="2">
        <f>Raw_Data!F710</f>
        <v>16.59</v>
      </c>
      <c r="E710" s="2" t="str">
        <f>Raw_Data!H710</f>
        <v>HOURLY</v>
      </c>
      <c r="F710" s="2">
        <f>Raw_Data!I710</f>
        <v>7</v>
      </c>
      <c r="G710" s="13">
        <f>D710*INDEX(Multiplier_Lookup!$C$6:$C$9,MATCH(E710,Multiplier_Lookup!$B$6:$B$9,0))</f>
        <v>34507.199999999997</v>
      </c>
      <c r="H710" s="2" t="str">
        <f t="shared" si="11"/>
        <v>Panera Bread|Checker</v>
      </c>
    </row>
    <row r="711" spans="1:8" x14ac:dyDescent="0.35">
      <c r="A711" s="2" t="str">
        <f>Raw_Data!A711</f>
        <v>Chick-fil-A Restaurants</v>
      </c>
      <c r="B711" s="2" t="str">
        <f>Raw_Data!C711</f>
        <v>Venta al por menor</v>
      </c>
      <c r="C711" s="2" t="str">
        <f>Raw_Data!D711</f>
        <v>Cashier</v>
      </c>
      <c r="D711" s="2">
        <f>Raw_Data!F711</f>
        <v>14.66</v>
      </c>
      <c r="E711" s="2" t="str">
        <f>Raw_Data!H711</f>
        <v>HOURLY</v>
      </c>
      <c r="F711" s="2">
        <f>Raw_Data!I711</f>
        <v>1846</v>
      </c>
      <c r="G711" s="13">
        <f>D711*INDEX(Multiplier_Lookup!$C$6:$C$9,MATCH(E711,Multiplier_Lookup!$B$6:$B$9,0))</f>
        <v>30492.799999999999</v>
      </c>
      <c r="H711" s="2" t="str">
        <f t="shared" si="11"/>
        <v>Chick-fil-A Restaurants|Cashier</v>
      </c>
    </row>
    <row r="712" spans="1:8" x14ac:dyDescent="0.35">
      <c r="A712" s="2" t="str">
        <f>Raw_Data!A712</f>
        <v>Chick-fil-A Restaurants</v>
      </c>
      <c r="B712" s="2" t="str">
        <f>Raw_Data!C712</f>
        <v>Venta al por menor</v>
      </c>
      <c r="C712" s="2" t="str">
        <f>Raw_Data!D712</f>
        <v>Customer Service Associate / Cashier</v>
      </c>
      <c r="D712" s="2">
        <f>Raw_Data!F712</f>
        <v>13.98</v>
      </c>
      <c r="E712" s="2" t="str">
        <f>Raw_Data!H712</f>
        <v>HOURLY</v>
      </c>
      <c r="F712" s="2">
        <f>Raw_Data!I712</f>
        <v>35</v>
      </c>
      <c r="G712" s="13">
        <f>D712*INDEX(Multiplier_Lookup!$C$6:$C$9,MATCH(E712,Multiplier_Lookup!$B$6:$B$9,0))</f>
        <v>29078.400000000001</v>
      </c>
      <c r="H712" s="2" t="str">
        <f t="shared" si="11"/>
        <v>Chick-fil-A Restaurants|Customer Service Associate / Cashier</v>
      </c>
    </row>
    <row r="713" spans="1:8" x14ac:dyDescent="0.35">
      <c r="A713" s="2" t="str">
        <f>Raw_Data!A713</f>
        <v>Chick-fil-A Restaurants</v>
      </c>
      <c r="B713" s="2" t="str">
        <f>Raw_Data!C713</f>
        <v>Venta al por menor</v>
      </c>
      <c r="C713" s="2" t="str">
        <f>Raw_Data!D713</f>
        <v>Store Manager</v>
      </c>
      <c r="D713" s="2">
        <f>Raw_Data!F713</f>
        <v>20.62</v>
      </c>
      <c r="E713" s="2" t="str">
        <f>Raw_Data!H713</f>
        <v>HOURLY</v>
      </c>
      <c r="F713" s="2">
        <f>Raw_Data!I713</f>
        <v>23</v>
      </c>
      <c r="G713" s="13">
        <f>D713*INDEX(Multiplier_Lookup!$C$6:$C$9,MATCH(E713,Multiplier_Lookup!$B$6:$B$9,0))</f>
        <v>42889.599999999999</v>
      </c>
      <c r="H713" s="2" t="str">
        <f t="shared" si="11"/>
        <v>Chick-fil-A Restaurants|Store Manager</v>
      </c>
    </row>
    <row r="714" spans="1:8" x14ac:dyDescent="0.35">
      <c r="A714" s="2" t="str">
        <f>Raw_Data!A714</f>
        <v>Chick-fil-A Restaurants</v>
      </c>
      <c r="B714" s="2" t="str">
        <f>Raw_Data!C714</f>
        <v>Venta al por menor</v>
      </c>
      <c r="C714" s="2" t="str">
        <f>Raw_Data!D714</f>
        <v>Encargado/a turno/a</v>
      </c>
      <c r="D714" s="2">
        <f>Raw_Data!F714</f>
        <v>18.600000000000001</v>
      </c>
      <c r="E714" s="2" t="str">
        <f>Raw_Data!H714</f>
        <v>HOURLY</v>
      </c>
      <c r="F714" s="2">
        <f>Raw_Data!I714</f>
        <v>100</v>
      </c>
      <c r="G714" s="13">
        <f>D714*INDEX(Multiplier_Lookup!$C$6:$C$9,MATCH(E714,Multiplier_Lookup!$B$6:$B$9,0))</f>
        <v>38688</v>
      </c>
      <c r="H714" s="2" t="str">
        <f t="shared" si="11"/>
        <v>Chick-fil-A Restaurants|Encargado/a turno/a</v>
      </c>
    </row>
    <row r="715" spans="1:8" x14ac:dyDescent="0.35">
      <c r="A715" s="2" t="str">
        <f>Raw_Data!A715</f>
        <v>Chick-fil-A Restaurants</v>
      </c>
      <c r="B715" s="2" t="str">
        <f>Raw_Data!C715</f>
        <v>Venta al por menor</v>
      </c>
      <c r="C715" s="2" t="str">
        <f>Raw_Data!D715</f>
        <v>Inventory Specialist</v>
      </c>
      <c r="D715" s="2">
        <f>Raw_Data!F715</f>
        <v>15.33</v>
      </c>
      <c r="E715" s="2" t="str">
        <f>Raw_Data!H715</f>
        <v>HOURLY</v>
      </c>
      <c r="F715" s="2">
        <f>Raw_Data!I715</f>
        <v>48</v>
      </c>
      <c r="G715" s="13">
        <f>D715*INDEX(Multiplier_Lookup!$C$6:$C$9,MATCH(E715,Multiplier_Lookup!$B$6:$B$9,0))</f>
        <v>31886.400000000001</v>
      </c>
      <c r="H715" s="2" t="str">
        <f t="shared" si="11"/>
        <v>Chick-fil-A Restaurants|Inventory Specialist</v>
      </c>
    </row>
    <row r="716" spans="1:8" x14ac:dyDescent="0.35">
      <c r="A716" s="2" t="str">
        <f>Raw_Data!A716</f>
        <v>Chick-fil-A Restaurants</v>
      </c>
      <c r="B716" s="2" t="str">
        <f>Raw_Data!C716</f>
        <v>Venta al por menor</v>
      </c>
      <c r="C716" s="2" t="str">
        <f>Raw_Data!D716</f>
        <v>Inventory Manager</v>
      </c>
      <c r="D716" s="2">
        <f>Raw_Data!F716</f>
        <v>18.329999999999998</v>
      </c>
      <c r="E716" s="2" t="str">
        <f>Raw_Data!H716</f>
        <v>HOURLY</v>
      </c>
      <c r="F716" s="2">
        <f>Raw_Data!I716</f>
        <v>14</v>
      </c>
      <c r="G716" s="13">
        <f>D716*INDEX(Multiplier_Lookup!$C$6:$C$9,MATCH(E716,Multiplier_Lookup!$B$6:$B$9,0))</f>
        <v>38126.399999999994</v>
      </c>
      <c r="H716" s="2" t="str">
        <f t="shared" si="11"/>
        <v>Chick-fil-A Restaurants|Inventory Manager</v>
      </c>
    </row>
    <row r="717" spans="1:8" x14ac:dyDescent="0.35">
      <c r="A717" s="2" t="str">
        <f>Raw_Data!A717</f>
        <v>Chick-fil-A Restaurants</v>
      </c>
      <c r="B717" s="2" t="str">
        <f>Raw_Data!C717</f>
        <v>Venta al por menor</v>
      </c>
      <c r="C717" s="2" t="str">
        <f>Raw_Data!D717</f>
        <v>Seasonal Associate</v>
      </c>
      <c r="D717" s="2">
        <f>Raw_Data!F717</f>
        <v>13.4</v>
      </c>
      <c r="E717" s="2" t="str">
        <f>Raw_Data!H717</f>
        <v>HOURLY</v>
      </c>
      <c r="F717" s="2">
        <f>Raw_Data!I717</f>
        <v>12</v>
      </c>
      <c r="G717" s="13">
        <f>D717*INDEX(Multiplier_Lookup!$C$6:$C$9,MATCH(E717,Multiplier_Lookup!$B$6:$B$9,0))</f>
        <v>27872</v>
      </c>
      <c r="H717" s="2" t="str">
        <f t="shared" si="11"/>
        <v>Chick-fil-A Restaurants|Seasonal Associate</v>
      </c>
    </row>
    <row r="718" spans="1:8" x14ac:dyDescent="0.35">
      <c r="A718" s="2" t="str">
        <f>Raw_Data!A718</f>
        <v>Chick-fil-A Restaurants</v>
      </c>
      <c r="B718" s="2" t="str">
        <f>Raw_Data!C718</f>
        <v>Venta al por menor</v>
      </c>
      <c r="C718" s="2" t="str">
        <f>Raw_Data!D718</f>
        <v>Retail Sales Associate</v>
      </c>
      <c r="D718" s="2">
        <f>Raw_Data!F718</f>
        <v>16.75</v>
      </c>
      <c r="E718" s="2" t="str">
        <f>Raw_Data!H718</f>
        <v>HOURLY</v>
      </c>
      <c r="F718" s="2">
        <f>Raw_Data!I718</f>
        <v>36</v>
      </c>
      <c r="G718" s="13">
        <f>D718*INDEX(Multiplier_Lookup!$C$6:$C$9,MATCH(E718,Multiplier_Lookup!$B$6:$B$9,0))</f>
        <v>34840</v>
      </c>
      <c r="H718" s="2" t="str">
        <f t="shared" si="11"/>
        <v>Chick-fil-A Restaurants|Retail Sales Associate</v>
      </c>
    </row>
    <row r="719" spans="1:8" x14ac:dyDescent="0.35">
      <c r="A719" s="2" t="str">
        <f>Raw_Data!A719</f>
        <v>Chick-fil-A Restaurants</v>
      </c>
      <c r="B719" s="2" t="str">
        <f>Raw_Data!C719</f>
        <v>Venta al por menor</v>
      </c>
      <c r="C719" s="2" t="str">
        <f>Raw_Data!D719</f>
        <v>Opener</v>
      </c>
      <c r="D719" s="2">
        <f>Raw_Data!F719</f>
        <v>15.97</v>
      </c>
      <c r="E719" s="2" t="str">
        <f>Raw_Data!H719</f>
        <v>HOURLY</v>
      </c>
      <c r="F719" s="2">
        <f>Raw_Data!I719</f>
        <v>17</v>
      </c>
      <c r="G719" s="13">
        <f>D719*INDEX(Multiplier_Lookup!$C$6:$C$9,MATCH(E719,Multiplier_Lookup!$B$6:$B$9,0))</f>
        <v>33217.599999999999</v>
      </c>
      <c r="H719" s="2" t="str">
        <f t="shared" si="11"/>
        <v>Chick-fil-A Restaurants|Opener</v>
      </c>
    </row>
    <row r="720" spans="1:8" x14ac:dyDescent="0.35">
      <c r="A720" s="2" t="str">
        <f>Raw_Data!A720</f>
        <v>Chick-fil-A Restaurants</v>
      </c>
      <c r="B720" s="2" t="str">
        <f>Raw_Data!C720</f>
        <v>Driving</v>
      </c>
      <c r="C720" s="2" t="str">
        <f>Raw_Data!D720</f>
        <v>Delivery Driver</v>
      </c>
      <c r="D720" s="2">
        <f>Raw_Data!F720</f>
        <v>13.35</v>
      </c>
      <c r="E720" s="2" t="str">
        <f>Raw_Data!H720</f>
        <v>HOURLY</v>
      </c>
      <c r="F720" s="2">
        <f>Raw_Data!I720</f>
        <v>500</v>
      </c>
      <c r="G720" s="13">
        <f>D720*INDEX(Multiplier_Lookup!$C$6:$C$9,MATCH(E720,Multiplier_Lookup!$B$6:$B$9,0))</f>
        <v>27768</v>
      </c>
      <c r="H720" s="2" t="str">
        <f t="shared" si="11"/>
        <v>Chick-fil-A Restaurants|Delivery Driver</v>
      </c>
    </row>
    <row r="721" spans="1:8" x14ac:dyDescent="0.35">
      <c r="A721" s="2" t="str">
        <f>Raw_Data!A721</f>
        <v>Costco Wholesale</v>
      </c>
      <c r="B721" s="2" t="str">
        <f>Raw_Data!C721</f>
        <v>Food Preparation &amp; Service</v>
      </c>
      <c r="C721" s="2" t="str">
        <f>Raw_Data!D721</f>
        <v>Meat Carver</v>
      </c>
      <c r="D721" s="2">
        <f>Raw_Data!F721</f>
        <v>25.68</v>
      </c>
      <c r="E721" s="2" t="str">
        <f>Raw_Data!H721</f>
        <v>HOURLY</v>
      </c>
      <c r="F721" s="2">
        <f>Raw_Data!I721</f>
        <v>12</v>
      </c>
      <c r="G721" s="13">
        <f>D721*INDEX(Multiplier_Lookup!$C$6:$C$9,MATCH(E721,Multiplier_Lookup!$B$6:$B$9,0))</f>
        <v>53414.400000000001</v>
      </c>
      <c r="H721" s="2" t="str">
        <f t="shared" si="11"/>
        <v>Costco Wholesale|Meat Carver</v>
      </c>
    </row>
    <row r="722" spans="1:8" x14ac:dyDescent="0.35">
      <c r="A722" s="2" t="str">
        <f>Raw_Data!A722</f>
        <v>Costco Wholesale</v>
      </c>
      <c r="B722" s="2" t="str">
        <f>Raw_Data!C722</f>
        <v>Food Preparation &amp; Service</v>
      </c>
      <c r="C722" s="2" t="str">
        <f>Raw_Data!D722</f>
        <v>Cake Decorator</v>
      </c>
      <c r="D722" s="2">
        <f>Raw_Data!F722</f>
        <v>23.97</v>
      </c>
      <c r="E722" s="2" t="str">
        <f>Raw_Data!H722</f>
        <v>HOURLY</v>
      </c>
      <c r="F722" s="2">
        <f>Raw_Data!I722</f>
        <v>6</v>
      </c>
      <c r="G722" s="13">
        <f>D722*INDEX(Multiplier_Lookup!$C$6:$C$9,MATCH(E722,Multiplier_Lookup!$B$6:$B$9,0))</f>
        <v>49857.599999999999</v>
      </c>
      <c r="H722" s="2" t="str">
        <f t="shared" si="11"/>
        <v>Costco Wholesale|Cake Decorator</v>
      </c>
    </row>
    <row r="723" spans="1:8" x14ac:dyDescent="0.35">
      <c r="A723" s="2" t="str">
        <f>Raw_Data!A723</f>
        <v>Costco Wholesale</v>
      </c>
      <c r="B723" s="2" t="str">
        <f>Raw_Data!C723</f>
        <v>Food Preparation &amp; Service</v>
      </c>
      <c r="C723" s="2" t="str">
        <f>Raw_Data!D723</f>
        <v>Deli Associate</v>
      </c>
      <c r="D723" s="2">
        <f>Raw_Data!F723</f>
        <v>21.89</v>
      </c>
      <c r="E723" s="2" t="str">
        <f>Raw_Data!H723</f>
        <v>HOURLY</v>
      </c>
      <c r="F723" s="2">
        <f>Raw_Data!I723</f>
        <v>5</v>
      </c>
      <c r="G723" s="13">
        <f>D723*INDEX(Multiplier_Lookup!$C$6:$C$9,MATCH(E723,Multiplier_Lookup!$B$6:$B$9,0))</f>
        <v>45531.200000000004</v>
      </c>
      <c r="H723" s="2" t="str">
        <f t="shared" si="11"/>
        <v>Costco Wholesale|Deli Associate</v>
      </c>
    </row>
    <row r="724" spans="1:8" x14ac:dyDescent="0.35">
      <c r="A724" s="2" t="str">
        <f>Raw_Data!A724</f>
        <v>Costco Wholesale</v>
      </c>
      <c r="B724" s="2" t="str">
        <f>Raw_Data!C724</f>
        <v>Food Preparation &amp; Service</v>
      </c>
      <c r="C724" s="2" t="str">
        <f>Raw_Data!D724</f>
        <v>Food Service Worker</v>
      </c>
      <c r="D724" s="2">
        <f>Raw_Data!F724</f>
        <v>19.670000000000002</v>
      </c>
      <c r="E724" s="2" t="str">
        <f>Raw_Data!H724</f>
        <v>HOURLY</v>
      </c>
      <c r="F724" s="2">
        <f>Raw_Data!I724</f>
        <v>6</v>
      </c>
      <c r="G724" s="13">
        <f>D724*INDEX(Multiplier_Lookup!$C$6:$C$9,MATCH(E724,Multiplier_Lookup!$B$6:$B$9,0))</f>
        <v>40913.600000000006</v>
      </c>
      <c r="H724" s="2" t="str">
        <f t="shared" si="11"/>
        <v>Costco Wholesale|Food Service Worker</v>
      </c>
    </row>
    <row r="725" spans="1:8" x14ac:dyDescent="0.35">
      <c r="A725" s="2" t="str">
        <f>Raw_Data!A725</f>
        <v>Costco Wholesale</v>
      </c>
      <c r="B725" s="2" t="str">
        <f>Raw_Data!C725</f>
        <v>Food Preparation &amp; Service</v>
      </c>
      <c r="C725" s="2" t="str">
        <f>Raw_Data!D725</f>
        <v>Food Service Associate</v>
      </c>
      <c r="D725" s="2">
        <f>Raw_Data!F725</f>
        <v>20.420000000000002</v>
      </c>
      <c r="E725" s="2" t="str">
        <f>Raw_Data!H725</f>
        <v>HOURLY</v>
      </c>
      <c r="F725" s="2">
        <f>Raw_Data!I725</f>
        <v>6</v>
      </c>
      <c r="G725" s="13">
        <f>D725*INDEX(Multiplier_Lookup!$C$6:$C$9,MATCH(E725,Multiplier_Lookup!$B$6:$B$9,0))</f>
        <v>42473.600000000006</v>
      </c>
      <c r="H725" s="2" t="str">
        <f t="shared" si="11"/>
        <v>Costco Wholesale|Food Service Associate</v>
      </c>
    </row>
    <row r="726" spans="1:8" x14ac:dyDescent="0.35">
      <c r="A726" s="2" t="str">
        <f>Raw_Data!A726</f>
        <v>Costco Wholesale</v>
      </c>
      <c r="B726" s="2" t="str">
        <f>Raw_Data!C726</f>
        <v>Food Preparation &amp; Service</v>
      </c>
      <c r="C726" s="2" t="str">
        <f>Raw_Data!D726</f>
        <v>Baker</v>
      </c>
      <c r="D726" s="2">
        <f>Raw_Data!F726</f>
        <v>28.68</v>
      </c>
      <c r="E726" s="2" t="str">
        <f>Raw_Data!H726</f>
        <v>HOURLY</v>
      </c>
      <c r="F726" s="2">
        <f>Raw_Data!I726</f>
        <v>6</v>
      </c>
      <c r="G726" s="13">
        <f>D726*INDEX(Multiplier_Lookup!$C$6:$C$9,MATCH(E726,Multiplier_Lookup!$B$6:$B$9,0))</f>
        <v>59654.400000000001</v>
      </c>
      <c r="H726" s="2" t="str">
        <f t="shared" si="11"/>
        <v>Costco Wholesale|Baker</v>
      </c>
    </row>
    <row r="727" spans="1:8" x14ac:dyDescent="0.35">
      <c r="A727" s="2" t="str">
        <f>Raw_Data!A727</f>
        <v>Costco Wholesale</v>
      </c>
      <c r="B727" s="2" t="str">
        <f>Raw_Data!C727</f>
        <v>Food Preparation &amp; Service</v>
      </c>
      <c r="C727" s="2" t="str">
        <f>Raw_Data!D727</f>
        <v>Bakery Manager</v>
      </c>
      <c r="D727" s="2">
        <f>Raw_Data!F727</f>
        <v>92196</v>
      </c>
      <c r="E727" s="2" t="str">
        <f>Raw_Data!H727</f>
        <v>YEARLY</v>
      </c>
      <c r="F727" s="2">
        <f>Raw_Data!I727</f>
        <v>5</v>
      </c>
      <c r="G727" s="13">
        <f>D727*INDEX(Multiplier_Lookup!$C$6:$C$9,MATCH(E727,Multiplier_Lookup!$B$6:$B$9,0))</f>
        <v>92196</v>
      </c>
      <c r="H727" s="2" t="str">
        <f t="shared" si="11"/>
        <v>Costco Wholesale|Bakery Manager</v>
      </c>
    </row>
    <row r="728" spans="1:8" x14ac:dyDescent="0.35">
      <c r="A728" s="2" t="str">
        <f>Raw_Data!A728</f>
        <v>Costco Wholesale</v>
      </c>
      <c r="B728" s="2" t="str">
        <f>Raw_Data!C728</f>
        <v>Food Preparation &amp; Service</v>
      </c>
      <c r="C728" s="2" t="str">
        <f>Raw_Data!D728</f>
        <v>Meat Wrapper</v>
      </c>
      <c r="D728" s="2">
        <f>Raw_Data!F728</f>
        <v>22.18</v>
      </c>
      <c r="E728" s="2" t="str">
        <f>Raw_Data!H728</f>
        <v>HOURLY</v>
      </c>
      <c r="F728" s="2">
        <f>Raw_Data!I728</f>
        <v>5</v>
      </c>
      <c r="G728" s="13">
        <f>D728*INDEX(Multiplier_Lookup!$C$6:$C$9,MATCH(E728,Multiplier_Lookup!$B$6:$B$9,0))</f>
        <v>46134.400000000001</v>
      </c>
      <c r="H728" s="2" t="str">
        <f t="shared" si="11"/>
        <v>Costco Wholesale|Meat Wrapper</v>
      </c>
    </row>
    <row r="729" spans="1:8" x14ac:dyDescent="0.35">
      <c r="A729" s="2" t="str">
        <f>Raw_Data!A729</f>
        <v>Costco Wholesale</v>
      </c>
      <c r="B729" s="2" t="str">
        <f>Raw_Data!C729</f>
        <v>Food Preparation &amp; Service</v>
      </c>
      <c r="C729" s="2" t="str">
        <f>Raw_Data!D729</f>
        <v>Bakery Assistant</v>
      </c>
      <c r="D729" s="2">
        <f>Raw_Data!F729</f>
        <v>17.97</v>
      </c>
      <c r="E729" s="2" t="str">
        <f>Raw_Data!H729</f>
        <v>HOURLY</v>
      </c>
      <c r="F729" s="2">
        <f>Raw_Data!I729</f>
        <v>2</v>
      </c>
      <c r="G729" s="13">
        <f>D729*INDEX(Multiplier_Lookup!$C$6:$C$9,MATCH(E729,Multiplier_Lookup!$B$6:$B$9,0))</f>
        <v>37377.599999999999</v>
      </c>
      <c r="H729" s="2" t="str">
        <f t="shared" si="11"/>
        <v>Costco Wholesale|Bakery Assistant</v>
      </c>
    </row>
    <row r="730" spans="1:8" x14ac:dyDescent="0.35">
      <c r="A730" s="2" t="str">
        <f>Raw_Data!A730</f>
        <v>Costco Wholesale</v>
      </c>
      <c r="B730" s="2" t="str">
        <f>Raw_Data!C730</f>
        <v>Food Preparation &amp; Service</v>
      </c>
      <c r="C730" s="2" t="str">
        <f>Raw_Data!D730</f>
        <v>Sushi Chef</v>
      </c>
      <c r="D730" s="2">
        <f>Raw_Data!F730</f>
        <v>24.62</v>
      </c>
      <c r="E730" s="2" t="str">
        <f>Raw_Data!H730</f>
        <v>HOURLY</v>
      </c>
      <c r="F730" s="2">
        <f>Raw_Data!I730</f>
        <v>2</v>
      </c>
      <c r="G730" s="13">
        <f>D730*INDEX(Multiplier_Lookup!$C$6:$C$9,MATCH(E730,Multiplier_Lookup!$B$6:$B$9,0))</f>
        <v>51209.599999999999</v>
      </c>
      <c r="H730" s="2" t="str">
        <f t="shared" si="11"/>
        <v>Costco Wholesale|Sushi Chef</v>
      </c>
    </row>
    <row r="731" spans="1:8" x14ac:dyDescent="0.35">
      <c r="A731" s="2" t="str">
        <f>Raw_Data!A731</f>
        <v>Kroger</v>
      </c>
      <c r="B731" s="2" t="str">
        <f>Raw_Data!C731</f>
        <v>Management</v>
      </c>
      <c r="C731" s="2" t="str">
        <f>Raw_Data!D731</f>
        <v>Shift Leader</v>
      </c>
      <c r="D731" s="2">
        <f>Raw_Data!F731</f>
        <v>82563</v>
      </c>
      <c r="E731" s="2" t="str">
        <f>Raw_Data!H731</f>
        <v>YEARLY</v>
      </c>
      <c r="F731" s="2">
        <f>Raw_Data!I731</f>
        <v>3</v>
      </c>
      <c r="G731" s="13">
        <f>D731*INDEX(Multiplier_Lookup!$C$6:$C$9,MATCH(E731,Multiplier_Lookup!$B$6:$B$9,0))</f>
        <v>82563</v>
      </c>
      <c r="H731" s="2" t="str">
        <f t="shared" si="11"/>
        <v>Kroger|Shift Leader</v>
      </c>
    </row>
    <row r="732" spans="1:8" x14ac:dyDescent="0.35">
      <c r="A732" s="2" t="str">
        <f>Raw_Data!A732</f>
        <v>Kroger</v>
      </c>
      <c r="B732" s="2" t="str">
        <f>Raw_Data!C732</f>
        <v>Management</v>
      </c>
      <c r="C732" s="2" t="str">
        <f>Raw_Data!D732</f>
        <v>Department Leader</v>
      </c>
      <c r="D732" s="2">
        <f>Raw_Data!F732</f>
        <v>19.96</v>
      </c>
      <c r="E732" s="2" t="str">
        <f>Raw_Data!H732</f>
        <v>HOURLY</v>
      </c>
      <c r="F732" s="2">
        <f>Raw_Data!I732</f>
        <v>16</v>
      </c>
      <c r="G732" s="13">
        <f>D732*INDEX(Multiplier_Lookup!$C$6:$C$9,MATCH(E732,Multiplier_Lookup!$B$6:$B$9,0))</f>
        <v>41516.800000000003</v>
      </c>
      <c r="H732" s="2" t="str">
        <f t="shared" si="11"/>
        <v>Kroger|Department Leader</v>
      </c>
    </row>
    <row r="733" spans="1:8" x14ac:dyDescent="0.35">
      <c r="A733" s="2" t="str">
        <f>Raw_Data!A733</f>
        <v>Kroger</v>
      </c>
      <c r="B733" s="2" t="str">
        <f>Raw_Data!C733</f>
        <v>Management</v>
      </c>
      <c r="C733" s="2" t="str">
        <f>Raw_Data!D733</f>
        <v>Assistant Manager</v>
      </c>
      <c r="D733" s="2">
        <f>Raw_Data!F733</f>
        <v>66443</v>
      </c>
      <c r="E733" s="2" t="str">
        <f>Raw_Data!H733</f>
        <v>YEARLY</v>
      </c>
      <c r="F733" s="2">
        <f>Raw_Data!I733</f>
        <v>10</v>
      </c>
      <c r="G733" s="13">
        <f>D733*INDEX(Multiplier_Lookup!$C$6:$C$9,MATCH(E733,Multiplier_Lookup!$B$6:$B$9,0))</f>
        <v>66443</v>
      </c>
      <c r="H733" s="2" t="str">
        <f t="shared" si="11"/>
        <v>Kroger|Assistant Manager</v>
      </c>
    </row>
    <row r="734" spans="1:8" x14ac:dyDescent="0.35">
      <c r="A734" s="2" t="str">
        <f>Raw_Data!A734</f>
        <v>Kroger</v>
      </c>
      <c r="B734" s="2" t="str">
        <f>Raw_Data!C734</f>
        <v>Management</v>
      </c>
      <c r="C734" s="2" t="str">
        <f>Raw_Data!D734</f>
        <v>Manager</v>
      </c>
      <c r="D734" s="2">
        <f>Raw_Data!F734</f>
        <v>66458</v>
      </c>
      <c r="E734" s="2" t="str">
        <f>Raw_Data!H734</f>
        <v>YEARLY</v>
      </c>
      <c r="F734" s="2">
        <f>Raw_Data!I734</f>
        <v>5</v>
      </c>
      <c r="G734" s="13">
        <f>D734*INDEX(Multiplier_Lookup!$C$6:$C$9,MATCH(E734,Multiplier_Lookup!$B$6:$B$9,0))</f>
        <v>66458</v>
      </c>
      <c r="H734" s="2" t="str">
        <f t="shared" si="11"/>
        <v>Kroger|Manager</v>
      </c>
    </row>
    <row r="735" spans="1:8" x14ac:dyDescent="0.35">
      <c r="A735" s="2" t="str">
        <f>Raw_Data!A735</f>
        <v>Kroger</v>
      </c>
      <c r="B735" s="2" t="str">
        <f>Raw_Data!C735</f>
        <v>Management</v>
      </c>
      <c r="C735" s="2" t="str">
        <f>Raw_Data!D735</f>
        <v>Category Manager</v>
      </c>
      <c r="D735" s="2">
        <f>Raw_Data!F735</f>
        <v>85468</v>
      </c>
      <c r="E735" s="2" t="str">
        <f>Raw_Data!H735</f>
        <v>YEARLY</v>
      </c>
      <c r="F735" s="2">
        <f>Raw_Data!I735</f>
        <v>22</v>
      </c>
      <c r="G735" s="13">
        <f>D735*INDEX(Multiplier_Lookup!$C$6:$C$9,MATCH(E735,Multiplier_Lookup!$B$6:$B$9,0))</f>
        <v>85468</v>
      </c>
      <c r="H735" s="2" t="str">
        <f t="shared" si="11"/>
        <v>Kroger|Category Manager</v>
      </c>
    </row>
    <row r="736" spans="1:8" x14ac:dyDescent="0.35">
      <c r="A736" s="2" t="str">
        <f>Raw_Data!A736</f>
        <v>Kroger</v>
      </c>
      <c r="B736" s="2" t="str">
        <f>Raw_Data!C736</f>
        <v>Management</v>
      </c>
      <c r="C736" s="2" t="str">
        <f>Raw_Data!D736</f>
        <v>General Manager</v>
      </c>
      <c r="D736" s="2">
        <f>Raw_Data!F736</f>
        <v>52020</v>
      </c>
      <c r="E736" s="2" t="str">
        <f>Raw_Data!H736</f>
        <v>YEARLY</v>
      </c>
      <c r="F736" s="2">
        <f>Raw_Data!I736</f>
        <v>1</v>
      </c>
      <c r="G736" s="13">
        <f>D736*INDEX(Multiplier_Lookup!$C$6:$C$9,MATCH(E736,Multiplier_Lookup!$B$6:$B$9,0))</f>
        <v>52020</v>
      </c>
      <c r="H736" s="2" t="str">
        <f t="shared" si="11"/>
        <v>Kroger|General Manager</v>
      </c>
    </row>
    <row r="737" spans="1:8" x14ac:dyDescent="0.35">
      <c r="A737" s="2" t="str">
        <f>Raw_Data!A737</f>
        <v>Kroger</v>
      </c>
      <c r="B737" s="2" t="str">
        <f>Raw_Data!C737</f>
        <v>Management</v>
      </c>
      <c r="C737" s="2" t="str">
        <f>Raw_Data!D737</f>
        <v>Manager in Training</v>
      </c>
      <c r="D737" s="2">
        <f>Raw_Data!F737</f>
        <v>40891</v>
      </c>
      <c r="E737" s="2" t="str">
        <f>Raw_Data!H737</f>
        <v>YEARLY</v>
      </c>
      <c r="F737" s="2">
        <f>Raw_Data!I737</f>
        <v>1</v>
      </c>
      <c r="G737" s="13">
        <f>D737*INDEX(Multiplier_Lookup!$C$6:$C$9,MATCH(E737,Multiplier_Lookup!$B$6:$B$9,0))</f>
        <v>40891</v>
      </c>
      <c r="H737" s="2" t="str">
        <f t="shared" si="11"/>
        <v>Kroger|Manager in Training</v>
      </c>
    </row>
    <row r="738" spans="1:8" x14ac:dyDescent="0.35">
      <c r="A738" s="2" t="str">
        <f>Raw_Data!A738</f>
        <v>Kroger</v>
      </c>
      <c r="B738" s="2" t="str">
        <f>Raw_Data!C738</f>
        <v>Management</v>
      </c>
      <c r="C738" s="2" t="str">
        <f>Raw_Data!D738</f>
        <v>Manufacturing Specialist</v>
      </c>
      <c r="D738" s="2">
        <f>Raw_Data!F738</f>
        <v>20.86</v>
      </c>
      <c r="E738" s="2" t="str">
        <f>Raw_Data!H738</f>
        <v>HOURLY</v>
      </c>
      <c r="F738" s="2">
        <f>Raw_Data!I738</f>
        <v>26</v>
      </c>
      <c r="G738" s="13">
        <f>D738*INDEX(Multiplier_Lookup!$C$6:$C$9,MATCH(E738,Multiplier_Lookup!$B$6:$B$9,0))</f>
        <v>43388.799999999996</v>
      </c>
      <c r="H738" s="2" t="str">
        <f t="shared" si="11"/>
        <v>Kroger|Manufacturing Specialist</v>
      </c>
    </row>
    <row r="739" spans="1:8" x14ac:dyDescent="0.35">
      <c r="A739" s="2" t="str">
        <f>Raw_Data!A739</f>
        <v>Kroger</v>
      </c>
      <c r="B739" s="2" t="str">
        <f>Raw_Data!C739</f>
        <v>Management</v>
      </c>
      <c r="C739" s="2" t="str">
        <f>Raw_Data!D739</f>
        <v>Operations Lead</v>
      </c>
      <c r="D739" s="2">
        <f>Raw_Data!F739</f>
        <v>74007</v>
      </c>
      <c r="E739" s="2" t="str">
        <f>Raw_Data!H739</f>
        <v>YEARLY</v>
      </c>
      <c r="F739" s="2">
        <f>Raw_Data!I739</f>
        <v>35</v>
      </c>
      <c r="G739" s="13">
        <f>D739*INDEX(Multiplier_Lookup!$C$6:$C$9,MATCH(E739,Multiplier_Lookup!$B$6:$B$9,0))</f>
        <v>74007</v>
      </c>
      <c r="H739" s="2" t="str">
        <f t="shared" si="11"/>
        <v>Kroger|Operations Lead</v>
      </c>
    </row>
    <row r="740" spans="1:8" x14ac:dyDescent="0.35">
      <c r="A740" s="2" t="str">
        <f>Raw_Data!A740</f>
        <v>Kroger</v>
      </c>
      <c r="B740" s="2" t="str">
        <f>Raw_Data!C740</f>
        <v>Management</v>
      </c>
      <c r="C740" s="2" t="str">
        <f>Raw_Data!D740</f>
        <v>Manager On Duty</v>
      </c>
      <c r="D740" s="2">
        <f>Raw_Data!F740</f>
        <v>16.48</v>
      </c>
      <c r="E740" s="2" t="str">
        <f>Raw_Data!H740</f>
        <v>HOURLY</v>
      </c>
      <c r="F740" s="2">
        <f>Raw_Data!I740</f>
        <v>18</v>
      </c>
      <c r="G740" s="13">
        <f>D740*INDEX(Multiplier_Lookup!$C$6:$C$9,MATCH(E740,Multiplier_Lookup!$B$6:$B$9,0))</f>
        <v>34278.400000000001</v>
      </c>
      <c r="H740" s="2" t="str">
        <f t="shared" si="11"/>
        <v>Kroger|Manager On Duty</v>
      </c>
    </row>
    <row r="741" spans="1:8" x14ac:dyDescent="0.35">
      <c r="A741" s="2" t="str">
        <f>Raw_Data!A741</f>
        <v>UPS</v>
      </c>
      <c r="B741" s="2" t="str">
        <f>Raw_Data!C741</f>
        <v>Driving</v>
      </c>
      <c r="C741" s="2" t="str">
        <f>Raw_Data!D741</f>
        <v>Delivery Driver</v>
      </c>
      <c r="D741" s="2">
        <f>Raw_Data!F741</f>
        <v>21.06</v>
      </c>
      <c r="E741" s="2" t="str">
        <f>Raw_Data!H741</f>
        <v>HOURLY</v>
      </c>
      <c r="F741" s="2">
        <f>Raw_Data!I741</f>
        <v>291</v>
      </c>
      <c r="G741" s="13">
        <f>D741*INDEX(Multiplier_Lookup!$C$6:$C$9,MATCH(E741,Multiplier_Lookup!$B$6:$B$9,0))</f>
        <v>43804.799999999996</v>
      </c>
      <c r="H741" s="2" t="str">
        <f t="shared" si="11"/>
        <v>UPS|Delivery Driver</v>
      </c>
    </row>
    <row r="742" spans="1:8" x14ac:dyDescent="0.35">
      <c r="A742" s="2" t="str">
        <f>Raw_Data!A742</f>
        <v>UPS</v>
      </c>
      <c r="B742" s="2" t="str">
        <f>Raw_Data!C742</f>
        <v>Driving</v>
      </c>
      <c r="C742" s="2" t="str">
        <f>Raw_Data!D742</f>
        <v>Driver</v>
      </c>
      <c r="D742" s="2">
        <f>Raw_Data!F742</f>
        <v>23.55</v>
      </c>
      <c r="E742" s="2" t="str">
        <f>Raw_Data!H742</f>
        <v>HOURLY</v>
      </c>
      <c r="F742" s="2">
        <f>Raw_Data!I742</f>
        <v>72</v>
      </c>
      <c r="G742" s="13">
        <f>D742*INDEX(Multiplier_Lookup!$C$6:$C$9,MATCH(E742,Multiplier_Lookup!$B$6:$B$9,0))</f>
        <v>48984</v>
      </c>
      <c r="H742" s="2" t="str">
        <f t="shared" si="11"/>
        <v>UPS|Driver</v>
      </c>
    </row>
    <row r="743" spans="1:8" x14ac:dyDescent="0.35">
      <c r="A743" s="2" t="str">
        <f>Raw_Data!A743</f>
        <v>UPS</v>
      </c>
      <c r="B743" s="2" t="str">
        <f>Raw_Data!C743</f>
        <v>Driving</v>
      </c>
      <c r="C743" s="2" t="str">
        <f>Raw_Data!D743</f>
        <v>Drivers Helper</v>
      </c>
      <c r="D743" s="2">
        <f>Raw_Data!F743</f>
        <v>17.809999999999999</v>
      </c>
      <c r="E743" s="2" t="str">
        <f>Raw_Data!H743</f>
        <v>HOURLY</v>
      </c>
      <c r="F743" s="2">
        <f>Raw_Data!I743</f>
        <v>16</v>
      </c>
      <c r="G743" s="13">
        <f>D743*INDEX(Multiplier_Lookup!$C$6:$C$9,MATCH(E743,Multiplier_Lookup!$B$6:$B$9,0))</f>
        <v>37044.799999999996</v>
      </c>
      <c r="H743" s="2" t="str">
        <f t="shared" si="11"/>
        <v>UPS|Drivers Helper</v>
      </c>
    </row>
    <row r="744" spans="1:8" x14ac:dyDescent="0.35">
      <c r="A744" s="2" t="str">
        <f>Raw_Data!A744</f>
        <v>UPS</v>
      </c>
      <c r="B744" s="2" t="str">
        <f>Raw_Data!C744</f>
        <v>Driving</v>
      </c>
      <c r="C744" s="2" t="str">
        <f>Raw_Data!D744</f>
        <v>Courier</v>
      </c>
      <c r="D744" s="2">
        <f>Raw_Data!F744</f>
        <v>12.46</v>
      </c>
      <c r="E744" s="2" t="str">
        <f>Raw_Data!H744</f>
        <v>HOURLY</v>
      </c>
      <c r="F744" s="2">
        <f>Raw_Data!I744</f>
        <v>137</v>
      </c>
      <c r="G744" s="13">
        <f>D744*INDEX(Multiplier_Lookup!$C$6:$C$9,MATCH(E744,Multiplier_Lookup!$B$6:$B$9,0))</f>
        <v>25916.800000000003</v>
      </c>
      <c r="H744" s="2" t="str">
        <f t="shared" si="11"/>
        <v>UPS|Courier</v>
      </c>
    </row>
    <row r="745" spans="1:8" x14ac:dyDescent="0.35">
      <c r="A745" s="2" t="str">
        <f>Raw_Data!A745</f>
        <v>UPS</v>
      </c>
      <c r="B745" s="2" t="str">
        <f>Raw_Data!C745</f>
        <v>Driving</v>
      </c>
      <c r="C745" s="2" t="str">
        <f>Raw_Data!D745</f>
        <v>Tractor Trailer Driver</v>
      </c>
      <c r="D745" s="2">
        <f>Raw_Data!F745</f>
        <v>29.61</v>
      </c>
      <c r="E745" s="2" t="str">
        <f>Raw_Data!H745</f>
        <v>HOURLY</v>
      </c>
      <c r="F745" s="2">
        <f>Raw_Data!I745</f>
        <v>17</v>
      </c>
      <c r="G745" s="13">
        <f>D745*INDEX(Multiplier_Lookup!$C$6:$C$9,MATCH(E745,Multiplier_Lookup!$B$6:$B$9,0))</f>
        <v>61588.799999999996</v>
      </c>
      <c r="H745" s="2" t="str">
        <f t="shared" si="11"/>
        <v>UPS|Tractor Trailer Driver</v>
      </c>
    </row>
    <row r="746" spans="1:8" x14ac:dyDescent="0.35">
      <c r="A746" s="2" t="str">
        <f>Raw_Data!A746</f>
        <v>UPS</v>
      </c>
      <c r="B746" s="2" t="str">
        <f>Raw_Data!C746</f>
        <v>Driving</v>
      </c>
      <c r="C746" s="2" t="str">
        <f>Raw_Data!D746</f>
        <v>Truck Driver</v>
      </c>
      <c r="D746" s="2">
        <f>Raw_Data!F746</f>
        <v>29.44</v>
      </c>
      <c r="E746" s="2" t="str">
        <f>Raw_Data!H746</f>
        <v>HOURLY</v>
      </c>
      <c r="F746" s="2">
        <f>Raw_Data!I746</f>
        <v>8</v>
      </c>
      <c r="G746" s="13">
        <f>D746*INDEX(Multiplier_Lookup!$C$6:$C$9,MATCH(E746,Multiplier_Lookup!$B$6:$B$9,0))</f>
        <v>61235.200000000004</v>
      </c>
      <c r="H746" s="2" t="str">
        <f t="shared" si="11"/>
        <v>UPS|Truck Driver</v>
      </c>
    </row>
    <row r="747" spans="1:8" x14ac:dyDescent="0.35">
      <c r="A747" s="2" t="str">
        <f>Raw_Data!A747</f>
        <v>UPS</v>
      </c>
      <c r="B747" s="2" t="str">
        <f>Raw_Data!C747</f>
        <v>Driving</v>
      </c>
      <c r="C747" s="2" t="str">
        <f>Raw_Data!D747</f>
        <v>Owner Operator Driver</v>
      </c>
      <c r="D747" s="2">
        <f>Raw_Data!F747</f>
        <v>3930</v>
      </c>
      <c r="E747" s="2" t="str">
        <f>Raw_Data!H747</f>
        <v>WEEKLY</v>
      </c>
      <c r="F747" s="2">
        <f>Raw_Data!I747</f>
        <v>10</v>
      </c>
      <c r="G747" s="13">
        <f>D747*INDEX(Multiplier_Lookup!$C$6:$C$9,MATCH(E747,Multiplier_Lookup!$B$6:$B$9,0))</f>
        <v>204360</v>
      </c>
      <c r="H747" s="2" t="str">
        <f t="shared" si="11"/>
        <v>UPS|Owner Operator Driver</v>
      </c>
    </row>
    <row r="748" spans="1:8" x14ac:dyDescent="0.35">
      <c r="A748" s="2" t="str">
        <f>Raw_Data!A748</f>
        <v>UPS</v>
      </c>
      <c r="B748" s="2" t="str">
        <f>Raw_Data!C748</f>
        <v>Driving</v>
      </c>
      <c r="C748" s="2" t="str">
        <f>Raw_Data!D748</f>
        <v>Independent Contractor</v>
      </c>
      <c r="D748" s="2">
        <f>Raw_Data!F748</f>
        <v>14.91</v>
      </c>
      <c r="E748" s="2" t="str">
        <f>Raw_Data!H748</f>
        <v>HOURLY</v>
      </c>
      <c r="F748" s="2">
        <f>Raw_Data!I748</f>
        <v>5</v>
      </c>
      <c r="G748" s="13">
        <f>D748*INDEX(Multiplier_Lookup!$C$6:$C$9,MATCH(E748,Multiplier_Lookup!$B$6:$B$9,0))</f>
        <v>31012.799999999999</v>
      </c>
      <c r="H748" s="2" t="str">
        <f t="shared" si="11"/>
        <v>UPS|Independent Contractor</v>
      </c>
    </row>
    <row r="749" spans="1:8" x14ac:dyDescent="0.35">
      <c r="A749" s="2" t="str">
        <f>Raw_Data!A749</f>
        <v>UPS</v>
      </c>
      <c r="B749" s="2" t="str">
        <f>Raw_Data!C749</f>
        <v>Driving</v>
      </c>
      <c r="C749" s="2" t="str">
        <f>Raw_Data!D749</f>
        <v>Local Driver</v>
      </c>
      <c r="D749" s="2">
        <f>Raw_Data!F749</f>
        <v>18.97</v>
      </c>
      <c r="E749" s="2" t="str">
        <f>Raw_Data!H749</f>
        <v>HOURLY</v>
      </c>
      <c r="F749" s="2">
        <f>Raw_Data!I749</f>
        <v>2</v>
      </c>
      <c r="G749" s="13">
        <f>D749*INDEX(Multiplier_Lookup!$C$6:$C$9,MATCH(E749,Multiplier_Lookup!$B$6:$B$9,0))</f>
        <v>39457.599999999999</v>
      </c>
      <c r="H749" s="2" t="str">
        <f t="shared" si="11"/>
        <v>UPS|Local Driver</v>
      </c>
    </row>
    <row r="750" spans="1:8" x14ac:dyDescent="0.35">
      <c r="A750" s="2" t="str">
        <f>Raw_Data!A750</f>
        <v>UPS</v>
      </c>
      <c r="B750" s="2" t="str">
        <f>Raw_Data!C750</f>
        <v>Driving</v>
      </c>
      <c r="C750" s="2" t="str">
        <f>Raw_Data!D750</f>
        <v>Driver (Independent Contractor)</v>
      </c>
      <c r="D750" s="2">
        <f>Raw_Data!F750</f>
        <v>10</v>
      </c>
      <c r="E750" s="2" t="str">
        <f>Raw_Data!H750</f>
        <v>HOURLY</v>
      </c>
      <c r="F750" s="2">
        <f>Raw_Data!I750</f>
        <v>4</v>
      </c>
      <c r="G750" s="13">
        <f>D750*INDEX(Multiplier_Lookup!$C$6:$C$9,MATCH(E750,Multiplier_Lookup!$B$6:$B$9,0))</f>
        <v>20800</v>
      </c>
      <c r="H750" s="2" t="str">
        <f t="shared" si="11"/>
        <v>UPS|Driver (Independent Contractor)</v>
      </c>
    </row>
    <row r="751" spans="1:8" x14ac:dyDescent="0.35">
      <c r="A751" s="2" t="str">
        <f>Raw_Data!A751</f>
        <v>Citi</v>
      </c>
      <c r="B751" s="2" t="str">
        <f>Raw_Data!C751</f>
        <v>Software Development</v>
      </c>
      <c r="C751" s="2" t="str">
        <f>Raw_Data!D751</f>
        <v>Software Engineer</v>
      </c>
      <c r="D751" s="2">
        <f>Raw_Data!F751</f>
        <v>100272</v>
      </c>
      <c r="E751" s="2" t="str">
        <f>Raw_Data!H751</f>
        <v>YEARLY</v>
      </c>
      <c r="F751" s="2">
        <f>Raw_Data!I751</f>
        <v>14</v>
      </c>
      <c r="G751" s="13">
        <f>D751*INDEX(Multiplier_Lookup!$C$6:$C$9,MATCH(E751,Multiplier_Lookup!$B$6:$B$9,0))</f>
        <v>100272</v>
      </c>
      <c r="H751" s="2" t="str">
        <f t="shared" si="11"/>
        <v>Citi|Software Engineer</v>
      </c>
    </row>
    <row r="752" spans="1:8" x14ac:dyDescent="0.35">
      <c r="A752" s="2" t="str">
        <f>Raw_Data!A752</f>
        <v>Citi</v>
      </c>
      <c r="B752" s="2" t="str">
        <f>Raw_Data!C752</f>
        <v>Software Development</v>
      </c>
      <c r="C752" s="2" t="str">
        <f>Raw_Data!D752</f>
        <v>Programmer Analyst</v>
      </c>
      <c r="D752" s="2">
        <f>Raw_Data!F752</f>
        <v>87493</v>
      </c>
      <c r="E752" s="2" t="str">
        <f>Raw_Data!H752</f>
        <v>YEARLY</v>
      </c>
      <c r="F752" s="2">
        <f>Raw_Data!I752</f>
        <v>41</v>
      </c>
      <c r="G752" s="13">
        <f>D752*INDEX(Multiplier_Lookup!$C$6:$C$9,MATCH(E752,Multiplier_Lookup!$B$6:$B$9,0))</f>
        <v>87493</v>
      </c>
      <c r="H752" s="2" t="str">
        <f t="shared" si="11"/>
        <v>Citi|Programmer Analyst</v>
      </c>
    </row>
    <row r="753" spans="1:8" x14ac:dyDescent="0.35">
      <c r="A753" s="2" t="str">
        <f>Raw_Data!A753</f>
        <v>Citi</v>
      </c>
      <c r="B753" s="2" t="str">
        <f>Raw_Data!C753</f>
        <v>Software Development</v>
      </c>
      <c r="C753" s="2" t="str">
        <f>Raw_Data!D753</f>
        <v>Technical Lead</v>
      </c>
      <c r="D753" s="2">
        <f>Raw_Data!F753</f>
        <v>150477</v>
      </c>
      <c r="E753" s="2" t="str">
        <f>Raw_Data!H753</f>
        <v>YEARLY</v>
      </c>
      <c r="F753" s="2">
        <f>Raw_Data!I753</f>
        <v>11</v>
      </c>
      <c r="G753" s="13">
        <f>D753*INDEX(Multiplier_Lookup!$C$6:$C$9,MATCH(E753,Multiplier_Lookup!$B$6:$B$9,0))</f>
        <v>150477</v>
      </c>
      <c r="H753" s="2" t="str">
        <f t="shared" si="11"/>
        <v>Citi|Technical Lead</v>
      </c>
    </row>
    <row r="754" spans="1:8" x14ac:dyDescent="0.35">
      <c r="A754" s="2" t="str">
        <f>Raw_Data!A754</f>
        <v>Citi</v>
      </c>
      <c r="B754" s="2" t="str">
        <f>Raw_Data!C754</f>
        <v>Software Development</v>
      </c>
      <c r="C754" s="2" t="str">
        <f>Raw_Data!D754</f>
        <v>Senior Software Engineer</v>
      </c>
      <c r="D754" s="2">
        <f>Raw_Data!F754</f>
        <v>125537</v>
      </c>
      <c r="E754" s="2" t="str">
        <f>Raw_Data!H754</f>
        <v>YEARLY</v>
      </c>
      <c r="F754" s="2">
        <f>Raw_Data!I754</f>
        <v>10</v>
      </c>
      <c r="G754" s="13">
        <f>D754*INDEX(Multiplier_Lookup!$C$6:$C$9,MATCH(E754,Multiplier_Lookup!$B$6:$B$9,0))</f>
        <v>125537</v>
      </c>
      <c r="H754" s="2" t="str">
        <f t="shared" si="11"/>
        <v>Citi|Senior Software Engineer</v>
      </c>
    </row>
    <row r="755" spans="1:8" x14ac:dyDescent="0.35">
      <c r="A755" s="2" t="str">
        <f>Raw_Data!A755</f>
        <v>Citi</v>
      </c>
      <c r="B755" s="2" t="str">
        <f>Raw_Data!C755</f>
        <v>Software Development</v>
      </c>
      <c r="C755" s="2" t="str">
        <f>Raw_Data!D755</f>
        <v>Product Manager</v>
      </c>
      <c r="D755" s="2">
        <f>Raw_Data!F755</f>
        <v>130179</v>
      </c>
      <c r="E755" s="2" t="str">
        <f>Raw_Data!H755</f>
        <v>YEARLY</v>
      </c>
      <c r="F755" s="2">
        <f>Raw_Data!I755</f>
        <v>9</v>
      </c>
      <c r="G755" s="13">
        <f>D755*INDEX(Multiplier_Lookup!$C$6:$C$9,MATCH(E755,Multiplier_Lookup!$B$6:$B$9,0))</f>
        <v>130179</v>
      </c>
      <c r="H755" s="2" t="str">
        <f t="shared" si="11"/>
        <v>Citi|Product Manager</v>
      </c>
    </row>
    <row r="756" spans="1:8" x14ac:dyDescent="0.35">
      <c r="A756" s="2" t="str">
        <f>Raw_Data!A756</f>
        <v>Citi</v>
      </c>
      <c r="B756" s="2" t="str">
        <f>Raw_Data!C756</f>
        <v>Software Development</v>
      </c>
      <c r="C756" s="2" t="str">
        <f>Raw_Data!D756</f>
        <v>Senior Programmer Analyst</v>
      </c>
      <c r="D756" s="2">
        <f>Raw_Data!F756</f>
        <v>138406</v>
      </c>
      <c r="E756" s="2" t="str">
        <f>Raw_Data!H756</f>
        <v>YEARLY</v>
      </c>
      <c r="F756" s="2">
        <f>Raw_Data!I756</f>
        <v>9</v>
      </c>
      <c r="G756" s="13">
        <f>D756*INDEX(Multiplier_Lookup!$C$6:$C$9,MATCH(E756,Multiplier_Lookup!$B$6:$B$9,0))</f>
        <v>138406</v>
      </c>
      <c r="H756" s="2" t="str">
        <f t="shared" si="11"/>
        <v>Citi|Senior Programmer Analyst</v>
      </c>
    </row>
    <row r="757" spans="1:8" x14ac:dyDescent="0.35">
      <c r="A757" s="2" t="str">
        <f>Raw_Data!A757</f>
        <v>Citi</v>
      </c>
      <c r="B757" s="2" t="str">
        <f>Raw_Data!C757</f>
        <v>Software Development</v>
      </c>
      <c r="C757" s="2" t="str">
        <f>Raw_Data!D757</f>
        <v>Application Developer</v>
      </c>
      <c r="D757" s="2">
        <f>Raw_Data!F757</f>
        <v>109440</v>
      </c>
      <c r="E757" s="2" t="str">
        <f>Raw_Data!H757</f>
        <v>YEARLY</v>
      </c>
      <c r="F757" s="2">
        <f>Raw_Data!I757</f>
        <v>7</v>
      </c>
      <c r="G757" s="13">
        <f>D757*INDEX(Multiplier_Lookup!$C$6:$C$9,MATCH(E757,Multiplier_Lookup!$B$6:$B$9,0))</f>
        <v>109440</v>
      </c>
      <c r="H757" s="2" t="str">
        <f t="shared" si="11"/>
        <v>Citi|Application Developer</v>
      </c>
    </row>
    <row r="758" spans="1:8" x14ac:dyDescent="0.35">
      <c r="A758" s="2" t="str">
        <f>Raw_Data!A758</f>
        <v>Citi</v>
      </c>
      <c r="B758" s="2" t="str">
        <f>Raw_Data!C758</f>
        <v>Software Development</v>
      </c>
      <c r="C758" s="2" t="str">
        <f>Raw_Data!D758</f>
        <v>Software Engineering Manager</v>
      </c>
      <c r="D758" s="2">
        <f>Raw_Data!F758</f>
        <v>159535</v>
      </c>
      <c r="E758" s="2" t="str">
        <f>Raw_Data!H758</f>
        <v>YEARLY</v>
      </c>
      <c r="F758" s="2">
        <f>Raw_Data!I758</f>
        <v>8</v>
      </c>
      <c r="G758" s="13">
        <f>D758*INDEX(Multiplier_Lookup!$C$6:$C$9,MATCH(E758,Multiplier_Lookup!$B$6:$B$9,0))</f>
        <v>159535</v>
      </c>
      <c r="H758" s="2" t="str">
        <f t="shared" si="11"/>
        <v>Citi|Software Engineering Manager</v>
      </c>
    </row>
    <row r="759" spans="1:8" x14ac:dyDescent="0.35">
      <c r="A759" s="2" t="str">
        <f>Raw_Data!A759</f>
        <v>Citi</v>
      </c>
      <c r="B759" s="2" t="str">
        <f>Raw_Data!C759</f>
        <v>Software Development</v>
      </c>
      <c r="C759" s="2" t="str">
        <f>Raw_Data!D759</f>
        <v>Developer</v>
      </c>
      <c r="D759" s="2">
        <f>Raw_Data!F759</f>
        <v>138051</v>
      </c>
      <c r="E759" s="2" t="str">
        <f>Raw_Data!H759</f>
        <v>YEARLY</v>
      </c>
      <c r="F759" s="2">
        <f>Raw_Data!I759</f>
        <v>10</v>
      </c>
      <c r="G759" s="13">
        <f>D759*INDEX(Multiplier_Lookup!$C$6:$C$9,MATCH(E759,Multiplier_Lookup!$B$6:$B$9,0))</f>
        <v>138051</v>
      </c>
      <c r="H759" s="2" t="str">
        <f t="shared" si="11"/>
        <v>Citi|Developer</v>
      </c>
    </row>
    <row r="760" spans="1:8" x14ac:dyDescent="0.35">
      <c r="A760" s="2" t="str">
        <f>Raw_Data!A760</f>
        <v>Citi</v>
      </c>
      <c r="B760" s="2" t="str">
        <f>Raw_Data!C760</f>
        <v>Software Development</v>
      </c>
      <c r="C760" s="2" t="str">
        <f>Raw_Data!D760</f>
        <v>Data Engineer</v>
      </c>
      <c r="D760" s="2">
        <f>Raw_Data!F760</f>
        <v>111233</v>
      </c>
      <c r="E760" s="2" t="str">
        <f>Raw_Data!H760</f>
        <v>YEARLY</v>
      </c>
      <c r="F760" s="2">
        <f>Raw_Data!I760</f>
        <v>7</v>
      </c>
      <c r="G760" s="13">
        <f>D760*INDEX(Multiplier_Lookup!$C$6:$C$9,MATCH(E760,Multiplier_Lookup!$B$6:$B$9,0))</f>
        <v>111233</v>
      </c>
      <c r="H760" s="2" t="str">
        <f t="shared" si="11"/>
        <v>Citi|Data Engineer</v>
      </c>
    </row>
    <row r="761" spans="1:8" x14ac:dyDescent="0.35">
      <c r="A761" s="2" t="str">
        <f>Raw_Data!A761</f>
        <v>Goldman Sachs</v>
      </c>
      <c r="B761" s="2" t="str">
        <f>Raw_Data!C761</f>
        <v>Accounting</v>
      </c>
      <c r="C761" s="2" t="str">
        <f>Raw_Data!D761</f>
        <v>Financial Analyst</v>
      </c>
      <c r="D761" s="2">
        <f>Raw_Data!F761</f>
        <v>84718</v>
      </c>
      <c r="E761" s="2" t="str">
        <f>Raw_Data!H761</f>
        <v>YEARLY</v>
      </c>
      <c r="F761" s="2">
        <f>Raw_Data!I761</f>
        <v>21</v>
      </c>
      <c r="G761" s="13">
        <f>D761*INDEX(Multiplier_Lookup!$C$6:$C$9,MATCH(E761,Multiplier_Lookup!$B$6:$B$9,0))</f>
        <v>84718</v>
      </c>
      <c r="H761" s="2" t="str">
        <f t="shared" si="11"/>
        <v>Goldman Sachs|Financial Analyst</v>
      </c>
    </row>
    <row r="762" spans="1:8" x14ac:dyDescent="0.35">
      <c r="A762" s="2" t="str">
        <f>Raw_Data!A762</f>
        <v>Goldman Sachs</v>
      </c>
      <c r="B762" s="2" t="str">
        <f>Raw_Data!C762</f>
        <v>Accounting</v>
      </c>
      <c r="C762" s="2" t="str">
        <f>Raw_Data!D762</f>
        <v>Internal Auditor</v>
      </c>
      <c r="D762" s="2">
        <f>Raw_Data!F762</f>
        <v>128679</v>
      </c>
      <c r="E762" s="2" t="str">
        <f>Raw_Data!H762</f>
        <v>YEARLY</v>
      </c>
      <c r="F762" s="2">
        <f>Raw_Data!I762</f>
        <v>39</v>
      </c>
      <c r="G762" s="13">
        <f>D762*INDEX(Multiplier_Lookup!$C$6:$C$9,MATCH(E762,Multiplier_Lookup!$B$6:$B$9,0))</f>
        <v>128679</v>
      </c>
      <c r="H762" s="2" t="str">
        <f t="shared" si="11"/>
        <v>Goldman Sachs|Internal Auditor</v>
      </c>
    </row>
    <row r="763" spans="1:8" x14ac:dyDescent="0.35">
      <c r="A763" s="2" t="str">
        <f>Raw_Data!A763</f>
        <v>Goldman Sachs</v>
      </c>
      <c r="B763" s="2" t="str">
        <f>Raw_Data!C763</f>
        <v>Accounting</v>
      </c>
      <c r="C763" s="2" t="str">
        <f>Raw_Data!D763</f>
        <v>Controller</v>
      </c>
      <c r="D763" s="2">
        <f>Raw_Data!F763</f>
        <v>92082</v>
      </c>
      <c r="E763" s="2" t="str">
        <f>Raw_Data!H763</f>
        <v>YEARLY</v>
      </c>
      <c r="F763" s="2">
        <f>Raw_Data!I763</f>
        <v>20</v>
      </c>
      <c r="G763" s="13">
        <f>D763*INDEX(Multiplier_Lookup!$C$6:$C$9,MATCH(E763,Multiplier_Lookup!$B$6:$B$9,0))</f>
        <v>92082</v>
      </c>
      <c r="H763" s="2" t="str">
        <f t="shared" si="11"/>
        <v>Goldman Sachs|Controller</v>
      </c>
    </row>
    <row r="764" spans="1:8" x14ac:dyDescent="0.35">
      <c r="A764" s="2" t="str">
        <f>Raw_Data!A764</f>
        <v>Goldman Sachs</v>
      </c>
      <c r="B764" s="2" t="str">
        <f>Raw_Data!C764</f>
        <v>Accounting</v>
      </c>
      <c r="C764" s="2" t="str">
        <f>Raw_Data!D764</f>
        <v>Credit Analyst</v>
      </c>
      <c r="D764" s="2">
        <f>Raw_Data!F764</f>
        <v>87887</v>
      </c>
      <c r="E764" s="2" t="str">
        <f>Raw_Data!H764</f>
        <v>YEARLY</v>
      </c>
      <c r="F764" s="2">
        <f>Raw_Data!I764</f>
        <v>12</v>
      </c>
      <c r="G764" s="13">
        <f>D764*INDEX(Multiplier_Lookup!$C$6:$C$9,MATCH(E764,Multiplier_Lookup!$B$6:$B$9,0))</f>
        <v>87887</v>
      </c>
      <c r="H764" s="2" t="str">
        <f t="shared" si="11"/>
        <v>Goldman Sachs|Credit Analyst</v>
      </c>
    </row>
    <row r="765" spans="1:8" x14ac:dyDescent="0.35">
      <c r="A765" s="2" t="str">
        <f>Raw_Data!A765</f>
        <v>Goldman Sachs</v>
      </c>
      <c r="B765" s="2" t="str">
        <f>Raw_Data!C765</f>
        <v>Accounting</v>
      </c>
      <c r="C765" s="2" t="str">
        <f>Raw_Data!D765</f>
        <v>Senior Financial Analyst</v>
      </c>
      <c r="D765" s="2">
        <f>Raw_Data!F765</f>
        <v>71494</v>
      </c>
      <c r="E765" s="2" t="str">
        <f>Raw_Data!H765</f>
        <v>YEARLY</v>
      </c>
      <c r="F765" s="2">
        <f>Raw_Data!I765</f>
        <v>8</v>
      </c>
      <c r="G765" s="13">
        <f>D765*INDEX(Multiplier_Lookup!$C$6:$C$9,MATCH(E765,Multiplier_Lookup!$B$6:$B$9,0))</f>
        <v>71494</v>
      </c>
      <c r="H765" s="2" t="str">
        <f t="shared" si="11"/>
        <v>Goldman Sachs|Senior Financial Analyst</v>
      </c>
    </row>
    <row r="766" spans="1:8" x14ac:dyDescent="0.35">
      <c r="A766" s="2" t="str">
        <f>Raw_Data!A766</f>
        <v>Goldman Sachs</v>
      </c>
      <c r="B766" s="2" t="str">
        <f>Raw_Data!C766</f>
        <v>Accounting</v>
      </c>
      <c r="C766" s="2" t="str">
        <f>Raw_Data!D766</f>
        <v>Finance Associate</v>
      </c>
      <c r="D766" s="2">
        <f>Raw_Data!F766</f>
        <v>143073</v>
      </c>
      <c r="E766" s="2" t="str">
        <f>Raw_Data!H766</f>
        <v>YEARLY</v>
      </c>
      <c r="F766" s="2">
        <f>Raw_Data!I766</f>
        <v>9</v>
      </c>
      <c r="G766" s="13">
        <f>D766*INDEX(Multiplier_Lookup!$C$6:$C$9,MATCH(E766,Multiplier_Lookup!$B$6:$B$9,0))</f>
        <v>143073</v>
      </c>
      <c r="H766" s="2" t="str">
        <f t="shared" si="11"/>
        <v>Goldman Sachs|Finance Associate</v>
      </c>
    </row>
    <row r="767" spans="1:8" x14ac:dyDescent="0.35">
      <c r="A767" s="2" t="str">
        <f>Raw_Data!A767</f>
        <v>Goldman Sachs</v>
      </c>
      <c r="B767" s="2" t="str">
        <f>Raw_Data!C767</f>
        <v>Accounting</v>
      </c>
      <c r="C767" s="2" t="str">
        <f>Raw_Data!D767</f>
        <v>Accounting Clerk</v>
      </c>
      <c r="D767" s="2">
        <f>Raw_Data!F767</f>
        <v>98286</v>
      </c>
      <c r="E767" s="2" t="str">
        <f>Raw_Data!H767</f>
        <v>YEARLY</v>
      </c>
      <c r="F767" s="2">
        <f>Raw_Data!I767</f>
        <v>8</v>
      </c>
      <c r="G767" s="13">
        <f>D767*INDEX(Multiplier_Lookup!$C$6:$C$9,MATCH(E767,Multiplier_Lookup!$B$6:$B$9,0))</f>
        <v>98286</v>
      </c>
      <c r="H767" s="2" t="str">
        <f t="shared" si="11"/>
        <v>Goldman Sachs|Accounting Clerk</v>
      </c>
    </row>
    <row r="768" spans="1:8" x14ac:dyDescent="0.35">
      <c r="A768" s="2" t="str">
        <f>Raw_Data!A768</f>
        <v>Goldman Sachs</v>
      </c>
      <c r="B768" s="2" t="str">
        <f>Raw_Data!C768</f>
        <v>Accounting</v>
      </c>
      <c r="C768" s="2" t="str">
        <f>Raw_Data!D768</f>
        <v>Financial Controller</v>
      </c>
      <c r="D768" s="2">
        <f>Raw_Data!F768</f>
        <v>52441</v>
      </c>
      <c r="E768" s="2" t="str">
        <f>Raw_Data!H768</f>
        <v>YEARLY</v>
      </c>
      <c r="F768" s="2">
        <f>Raw_Data!I768</f>
        <v>4</v>
      </c>
      <c r="G768" s="13">
        <f>D768*INDEX(Multiplier_Lookup!$C$6:$C$9,MATCH(E768,Multiplier_Lookup!$B$6:$B$9,0))</f>
        <v>52441</v>
      </c>
      <c r="H768" s="2" t="str">
        <f t="shared" si="11"/>
        <v>Goldman Sachs|Financial Controller</v>
      </c>
    </row>
    <row r="769" spans="1:8" x14ac:dyDescent="0.35">
      <c r="A769" s="2" t="str">
        <f>Raw_Data!A769</f>
        <v>Goldman Sachs</v>
      </c>
      <c r="B769" s="2" t="str">
        <f>Raw_Data!C769</f>
        <v>Accounting</v>
      </c>
      <c r="C769" s="2" t="str">
        <f>Raw_Data!D769</f>
        <v>Billing Analyst</v>
      </c>
      <c r="D769" s="2">
        <f>Raw_Data!F769</f>
        <v>64244</v>
      </c>
      <c r="E769" s="2" t="str">
        <f>Raw_Data!H769</f>
        <v>YEARLY</v>
      </c>
      <c r="F769" s="2">
        <f>Raw_Data!I769</f>
        <v>4</v>
      </c>
      <c r="G769" s="13">
        <f>D769*INDEX(Multiplier_Lookup!$C$6:$C$9,MATCH(E769,Multiplier_Lookup!$B$6:$B$9,0))</f>
        <v>64244</v>
      </c>
      <c r="H769" s="2" t="str">
        <f t="shared" si="11"/>
        <v>Goldman Sachs|Billing Analyst</v>
      </c>
    </row>
    <row r="770" spans="1:8" x14ac:dyDescent="0.35">
      <c r="A770" s="2" t="str">
        <f>Raw_Data!A770</f>
        <v>Goldman Sachs</v>
      </c>
      <c r="B770" s="2" t="str">
        <f>Raw_Data!C770</f>
        <v>Accounting</v>
      </c>
      <c r="C770" s="2" t="str">
        <f>Raw_Data!D770</f>
        <v>Treasury Analyst</v>
      </c>
      <c r="D770" s="2">
        <f>Raw_Data!F770</f>
        <v>60408</v>
      </c>
      <c r="E770" s="2" t="str">
        <f>Raw_Data!H770</f>
        <v>YEARLY</v>
      </c>
      <c r="F770" s="2">
        <f>Raw_Data!I770</f>
        <v>3</v>
      </c>
      <c r="G770" s="13">
        <f>D770*INDEX(Multiplier_Lookup!$C$6:$C$9,MATCH(E770,Multiplier_Lookup!$B$6:$B$9,0))</f>
        <v>60408</v>
      </c>
      <c r="H770" s="2" t="str">
        <f t="shared" ref="H770:H833" si="12">A770&amp;"|"&amp;C770</f>
        <v>Goldman Sachs|Treasury Analyst</v>
      </c>
    </row>
    <row r="771" spans="1:8" x14ac:dyDescent="0.35">
      <c r="A771" s="2" t="str">
        <f>Raw_Data!A771</f>
        <v>Dell Technologies</v>
      </c>
      <c r="B771" s="2" t="str">
        <f>Raw_Data!C771</f>
        <v>Management</v>
      </c>
      <c r="C771" s="2" t="str">
        <f>Raw_Data!D771</f>
        <v>Senior Advisor</v>
      </c>
      <c r="D771" s="2">
        <f>Raw_Data!F771</f>
        <v>139742</v>
      </c>
      <c r="E771" s="2" t="str">
        <f>Raw_Data!H771</f>
        <v>YEARLY</v>
      </c>
      <c r="F771" s="2">
        <f>Raw_Data!I771</f>
        <v>21</v>
      </c>
      <c r="G771" s="13">
        <f>D771*INDEX(Multiplier_Lookup!$C$6:$C$9,MATCH(E771,Multiplier_Lookup!$B$6:$B$9,0))</f>
        <v>139742</v>
      </c>
      <c r="H771" s="2" t="str">
        <f t="shared" si="12"/>
        <v>Dell Technologies|Senior Advisor</v>
      </c>
    </row>
    <row r="772" spans="1:8" x14ac:dyDescent="0.35">
      <c r="A772" s="2" t="str">
        <f>Raw_Data!A772</f>
        <v>Dell Technologies</v>
      </c>
      <c r="B772" s="2" t="str">
        <f>Raw_Data!C772</f>
        <v>Management</v>
      </c>
      <c r="C772" s="2" t="str">
        <f>Raw_Data!D772</f>
        <v>Consultant</v>
      </c>
      <c r="D772" s="2">
        <f>Raw_Data!F772</f>
        <v>142541</v>
      </c>
      <c r="E772" s="2" t="str">
        <f>Raw_Data!H772</f>
        <v>YEARLY</v>
      </c>
      <c r="F772" s="2">
        <f>Raw_Data!I772</f>
        <v>12</v>
      </c>
      <c r="G772" s="13">
        <f>D772*INDEX(Multiplier_Lookup!$C$6:$C$9,MATCH(E772,Multiplier_Lookup!$B$6:$B$9,0))</f>
        <v>142541</v>
      </c>
      <c r="H772" s="2" t="str">
        <f t="shared" si="12"/>
        <v>Dell Technologies|Consultant</v>
      </c>
    </row>
    <row r="773" spans="1:8" x14ac:dyDescent="0.35">
      <c r="A773" s="2" t="str">
        <f>Raw_Data!A773</f>
        <v>Dell Technologies</v>
      </c>
      <c r="B773" s="2" t="str">
        <f>Raw_Data!C773</f>
        <v>Management</v>
      </c>
      <c r="C773" s="2" t="str">
        <f>Raw_Data!D773</f>
        <v>Director</v>
      </c>
      <c r="D773" s="2">
        <f>Raw_Data!F773</f>
        <v>211341</v>
      </c>
      <c r="E773" s="2" t="str">
        <f>Raw_Data!H773</f>
        <v>YEARLY</v>
      </c>
      <c r="F773" s="2">
        <f>Raw_Data!I773</f>
        <v>15</v>
      </c>
      <c r="G773" s="13">
        <f>D773*INDEX(Multiplier_Lookup!$C$6:$C$9,MATCH(E773,Multiplier_Lookup!$B$6:$B$9,0))</f>
        <v>211341</v>
      </c>
      <c r="H773" s="2" t="str">
        <f t="shared" si="12"/>
        <v>Dell Technologies|Director</v>
      </c>
    </row>
    <row r="774" spans="1:8" x14ac:dyDescent="0.35">
      <c r="A774" s="2" t="str">
        <f>Raw_Data!A774</f>
        <v>Dell Technologies</v>
      </c>
      <c r="B774" s="2" t="str">
        <f>Raw_Data!C774</f>
        <v>Management</v>
      </c>
      <c r="C774" s="2" t="str">
        <f>Raw_Data!D774</f>
        <v>Senior Consultant</v>
      </c>
      <c r="D774" s="2">
        <f>Raw_Data!F774</f>
        <v>187766</v>
      </c>
      <c r="E774" s="2" t="str">
        <f>Raw_Data!H774</f>
        <v>YEARLY</v>
      </c>
      <c r="F774" s="2">
        <f>Raw_Data!I774</f>
        <v>8</v>
      </c>
      <c r="G774" s="13">
        <f>D774*INDEX(Multiplier_Lookup!$C$6:$C$9,MATCH(E774,Multiplier_Lookup!$B$6:$B$9,0))</f>
        <v>187766</v>
      </c>
      <c r="H774" s="2" t="str">
        <f t="shared" si="12"/>
        <v>Dell Technologies|Senior Consultant</v>
      </c>
    </row>
    <row r="775" spans="1:8" x14ac:dyDescent="0.35">
      <c r="A775" s="2" t="str">
        <f>Raw_Data!A775</f>
        <v>Dell Technologies</v>
      </c>
      <c r="B775" s="2" t="str">
        <f>Raw_Data!C775</f>
        <v>Management</v>
      </c>
      <c r="C775" s="2" t="str">
        <f>Raw_Data!D775</f>
        <v>Business Advisor</v>
      </c>
      <c r="D775" s="2">
        <f>Raw_Data!F775</f>
        <v>46998</v>
      </c>
      <c r="E775" s="2" t="str">
        <f>Raw_Data!H775</f>
        <v>YEARLY</v>
      </c>
      <c r="F775" s="2">
        <f>Raw_Data!I775</f>
        <v>26</v>
      </c>
      <c r="G775" s="13">
        <f>D775*INDEX(Multiplier_Lookup!$C$6:$C$9,MATCH(E775,Multiplier_Lookup!$B$6:$B$9,0))</f>
        <v>46998</v>
      </c>
      <c r="H775" s="2" t="str">
        <f t="shared" si="12"/>
        <v>Dell Technologies|Business Advisor</v>
      </c>
    </row>
    <row r="776" spans="1:8" x14ac:dyDescent="0.35">
      <c r="A776" s="2" t="str">
        <f>Raw_Data!A776</f>
        <v>Dell Technologies</v>
      </c>
      <c r="B776" s="2" t="str">
        <f>Raw_Data!C776</f>
        <v>Management</v>
      </c>
      <c r="C776" s="2" t="str">
        <f>Raw_Data!D776</f>
        <v>Senior Manager</v>
      </c>
      <c r="D776" s="2">
        <f>Raw_Data!F776</f>
        <v>159992</v>
      </c>
      <c r="E776" s="2" t="str">
        <f>Raw_Data!H776</f>
        <v>YEARLY</v>
      </c>
      <c r="F776" s="2">
        <f>Raw_Data!I776</f>
        <v>15</v>
      </c>
      <c r="G776" s="13">
        <f>D776*INDEX(Multiplier_Lookup!$C$6:$C$9,MATCH(E776,Multiplier_Lookup!$B$6:$B$9,0))</f>
        <v>159992</v>
      </c>
      <c r="H776" s="2" t="str">
        <f t="shared" si="12"/>
        <v>Dell Technologies|Senior Manager</v>
      </c>
    </row>
    <row r="777" spans="1:8" x14ac:dyDescent="0.35">
      <c r="A777" s="2" t="str">
        <f>Raw_Data!A777</f>
        <v>Dell Technologies</v>
      </c>
      <c r="B777" s="2" t="str">
        <f>Raw_Data!C777</f>
        <v>Management</v>
      </c>
      <c r="C777" s="2" t="str">
        <f>Raw_Data!D777</f>
        <v>Manager</v>
      </c>
      <c r="D777" s="2">
        <f>Raw_Data!F777</f>
        <v>94517</v>
      </c>
      <c r="E777" s="2" t="str">
        <f>Raw_Data!H777</f>
        <v>YEARLY</v>
      </c>
      <c r="F777" s="2">
        <f>Raw_Data!I777</f>
        <v>14</v>
      </c>
      <c r="G777" s="13">
        <f>D777*INDEX(Multiplier_Lookup!$C$6:$C$9,MATCH(E777,Multiplier_Lookup!$B$6:$B$9,0))</f>
        <v>94517</v>
      </c>
      <c r="H777" s="2" t="str">
        <f t="shared" si="12"/>
        <v>Dell Technologies|Manager</v>
      </c>
    </row>
    <row r="778" spans="1:8" x14ac:dyDescent="0.35">
      <c r="A778" s="2" t="str">
        <f>Raw_Data!A778</f>
        <v>Dell Technologies</v>
      </c>
      <c r="B778" s="2" t="str">
        <f>Raw_Data!C778</f>
        <v>Management</v>
      </c>
      <c r="C778" s="2" t="str">
        <f>Raw_Data!D778</f>
        <v>Vice President</v>
      </c>
      <c r="D778" s="2">
        <f>Raw_Data!F778</f>
        <v>261472</v>
      </c>
      <c r="E778" s="2" t="str">
        <f>Raw_Data!H778</f>
        <v>YEARLY</v>
      </c>
      <c r="F778" s="2">
        <f>Raw_Data!I778</f>
        <v>9</v>
      </c>
      <c r="G778" s="13">
        <f>D778*INDEX(Multiplier_Lookup!$C$6:$C$9,MATCH(E778,Multiplier_Lookup!$B$6:$B$9,0))</f>
        <v>261472</v>
      </c>
      <c r="H778" s="2" t="str">
        <f t="shared" si="12"/>
        <v>Dell Technologies|Vice President</v>
      </c>
    </row>
    <row r="779" spans="1:8" x14ac:dyDescent="0.35">
      <c r="A779" s="2" t="str">
        <f>Raw_Data!A779</f>
        <v>Dell Technologies</v>
      </c>
      <c r="B779" s="2" t="str">
        <f>Raw_Data!C779</f>
        <v>Management</v>
      </c>
      <c r="C779" s="2" t="str">
        <f>Raw_Data!D779</f>
        <v>Business Development Manager</v>
      </c>
      <c r="D779" s="2">
        <f>Raw_Data!F779</f>
        <v>129746</v>
      </c>
      <c r="E779" s="2" t="str">
        <f>Raw_Data!H779</f>
        <v>YEARLY</v>
      </c>
      <c r="F779" s="2">
        <f>Raw_Data!I779</f>
        <v>5</v>
      </c>
      <c r="G779" s="13">
        <f>D779*INDEX(Multiplier_Lookup!$C$6:$C$9,MATCH(E779,Multiplier_Lookup!$B$6:$B$9,0))</f>
        <v>129746</v>
      </c>
      <c r="H779" s="2" t="str">
        <f t="shared" si="12"/>
        <v>Dell Technologies|Business Development Manager</v>
      </c>
    </row>
    <row r="780" spans="1:8" x14ac:dyDescent="0.35">
      <c r="A780" s="2" t="str">
        <f>Raw_Data!A780</f>
        <v>Dell Technologies</v>
      </c>
      <c r="B780" s="2" t="str">
        <f>Raw_Data!C780</f>
        <v>Management</v>
      </c>
      <c r="C780" s="2" t="str">
        <f>Raw_Data!D780</f>
        <v>Product Line Manager</v>
      </c>
      <c r="D780" s="2">
        <f>Raw_Data!F780</f>
        <v>109782</v>
      </c>
      <c r="E780" s="2" t="str">
        <f>Raw_Data!H780</f>
        <v>YEARLY</v>
      </c>
      <c r="F780" s="2">
        <f>Raw_Data!I780</f>
        <v>10</v>
      </c>
      <c r="G780" s="13">
        <f>D780*INDEX(Multiplier_Lookup!$C$6:$C$9,MATCH(E780,Multiplier_Lookup!$B$6:$B$9,0))</f>
        <v>109782</v>
      </c>
      <c r="H780" s="2" t="str">
        <f t="shared" si="12"/>
        <v>Dell Technologies|Product Line Manager</v>
      </c>
    </row>
    <row r="781" spans="1:8" x14ac:dyDescent="0.35">
      <c r="A781" s="2" t="str">
        <f>Raw_Data!A781</f>
        <v>Delta Air Lines</v>
      </c>
      <c r="B781" s="2" t="str">
        <f>Raw_Data!C781</f>
        <v>Software Development</v>
      </c>
      <c r="C781" s="2" t="str">
        <f>Raw_Data!D781</f>
        <v>Software Engineer</v>
      </c>
      <c r="D781" s="2">
        <f>Raw_Data!F781</f>
        <v>93155</v>
      </c>
      <c r="E781" s="2" t="str">
        <f>Raw_Data!H781</f>
        <v>YEARLY</v>
      </c>
      <c r="F781" s="2">
        <f>Raw_Data!I781</f>
        <v>13</v>
      </c>
      <c r="G781" s="13">
        <f>D781*INDEX(Multiplier_Lookup!$C$6:$C$9,MATCH(E781,Multiplier_Lookup!$B$6:$B$9,0))</f>
        <v>93155</v>
      </c>
      <c r="H781" s="2" t="str">
        <f t="shared" si="12"/>
        <v>Delta Air Lines|Software Engineer</v>
      </c>
    </row>
    <row r="782" spans="1:8" x14ac:dyDescent="0.35">
      <c r="A782" s="2" t="str">
        <f>Raw_Data!A782</f>
        <v>Delta Air Lines</v>
      </c>
      <c r="B782" s="2" t="str">
        <f>Raw_Data!C782</f>
        <v>Software Development</v>
      </c>
      <c r="C782" s="2" t="str">
        <f>Raw_Data!D782</f>
        <v>Data Engineer</v>
      </c>
      <c r="D782" s="2">
        <f>Raw_Data!F782</f>
        <v>128260</v>
      </c>
      <c r="E782" s="2" t="str">
        <f>Raw_Data!H782</f>
        <v>YEARLY</v>
      </c>
      <c r="F782" s="2">
        <f>Raw_Data!I782</f>
        <v>8</v>
      </c>
      <c r="G782" s="13">
        <f>D782*INDEX(Multiplier_Lookup!$C$6:$C$9,MATCH(E782,Multiplier_Lookup!$B$6:$B$9,0))</f>
        <v>128260</v>
      </c>
      <c r="H782" s="2" t="str">
        <f t="shared" si="12"/>
        <v>Delta Air Lines|Data Engineer</v>
      </c>
    </row>
    <row r="783" spans="1:8" x14ac:dyDescent="0.35">
      <c r="A783" s="2" t="str">
        <f>Raw_Data!A783</f>
        <v>Delta Air Lines</v>
      </c>
      <c r="B783" s="2" t="str">
        <f>Raw_Data!C783</f>
        <v>Software Development</v>
      </c>
      <c r="C783" s="2" t="str">
        <f>Raw_Data!D783</f>
        <v>Senior Software Engineer</v>
      </c>
      <c r="D783" s="2">
        <f>Raw_Data!F783</f>
        <v>125702</v>
      </c>
      <c r="E783" s="2" t="str">
        <f>Raw_Data!H783</f>
        <v>YEARLY</v>
      </c>
      <c r="F783" s="2">
        <f>Raw_Data!I783</f>
        <v>6</v>
      </c>
      <c r="G783" s="13">
        <f>D783*INDEX(Multiplier_Lookup!$C$6:$C$9,MATCH(E783,Multiplier_Lookup!$B$6:$B$9,0))</f>
        <v>125702</v>
      </c>
      <c r="H783" s="2" t="str">
        <f t="shared" si="12"/>
        <v>Delta Air Lines|Senior Software Engineer</v>
      </c>
    </row>
    <row r="784" spans="1:8" x14ac:dyDescent="0.35">
      <c r="A784" s="2" t="str">
        <f>Raw_Data!A784</f>
        <v>Delta Air Lines</v>
      </c>
      <c r="B784" s="2" t="str">
        <f>Raw_Data!C784</f>
        <v>Software Development</v>
      </c>
      <c r="C784" s="2" t="str">
        <f>Raw_Data!D784</f>
        <v>Principal Software Engineer</v>
      </c>
      <c r="D784" s="2">
        <f>Raw_Data!F784</f>
        <v>140463</v>
      </c>
      <c r="E784" s="2" t="str">
        <f>Raw_Data!H784</f>
        <v>YEARLY</v>
      </c>
      <c r="F784" s="2">
        <f>Raw_Data!I784</f>
        <v>5</v>
      </c>
      <c r="G784" s="13">
        <f>D784*INDEX(Multiplier_Lookup!$C$6:$C$9,MATCH(E784,Multiplier_Lookup!$B$6:$B$9,0))</f>
        <v>140463</v>
      </c>
      <c r="H784" s="2" t="str">
        <f t="shared" si="12"/>
        <v>Delta Air Lines|Principal Software Engineer</v>
      </c>
    </row>
    <row r="785" spans="1:8" x14ac:dyDescent="0.35">
      <c r="A785" s="2" t="str">
        <f>Raw_Data!A785</f>
        <v>Delta Air Lines</v>
      </c>
      <c r="B785" s="2" t="str">
        <f>Raw_Data!C785</f>
        <v>Software Development</v>
      </c>
      <c r="C785" s="2" t="str">
        <f>Raw_Data!D785</f>
        <v>Developer</v>
      </c>
      <c r="D785" s="2">
        <f>Raw_Data!F785</f>
        <v>108279</v>
      </c>
      <c r="E785" s="2" t="str">
        <f>Raw_Data!H785</f>
        <v>YEARLY</v>
      </c>
      <c r="F785" s="2">
        <f>Raw_Data!I785</f>
        <v>6</v>
      </c>
      <c r="G785" s="13">
        <f>D785*INDEX(Multiplier_Lookup!$C$6:$C$9,MATCH(E785,Multiplier_Lookup!$B$6:$B$9,0))</f>
        <v>108279</v>
      </c>
      <c r="H785" s="2" t="str">
        <f t="shared" si="12"/>
        <v>Delta Air Lines|Developer</v>
      </c>
    </row>
    <row r="786" spans="1:8" x14ac:dyDescent="0.35">
      <c r="A786" s="2" t="str">
        <f>Raw_Data!A786</f>
        <v>Delta Air Lines</v>
      </c>
      <c r="B786" s="2" t="str">
        <f>Raw_Data!C786</f>
        <v>Software Development</v>
      </c>
      <c r="C786" s="2" t="str">
        <f>Raw_Data!D786</f>
        <v>Senior Product Manager</v>
      </c>
      <c r="D786" s="2">
        <f>Raw_Data!F786</f>
        <v>139866</v>
      </c>
      <c r="E786" s="2" t="str">
        <f>Raw_Data!H786</f>
        <v>YEARLY</v>
      </c>
      <c r="F786" s="2">
        <f>Raw_Data!I786</f>
        <v>5</v>
      </c>
      <c r="G786" s="13">
        <f>D786*INDEX(Multiplier_Lookup!$C$6:$C$9,MATCH(E786,Multiplier_Lookup!$B$6:$B$9,0))</f>
        <v>139866</v>
      </c>
      <c r="H786" s="2" t="str">
        <f t="shared" si="12"/>
        <v>Delta Air Lines|Senior Product Manager</v>
      </c>
    </row>
    <row r="787" spans="1:8" x14ac:dyDescent="0.35">
      <c r="A787" s="2" t="str">
        <f>Raw_Data!A787</f>
        <v>Delta Air Lines</v>
      </c>
      <c r="B787" s="2" t="str">
        <f>Raw_Data!C787</f>
        <v>Software Development</v>
      </c>
      <c r="C787" s="2" t="str">
        <f>Raw_Data!D787</f>
        <v>Senior Developer</v>
      </c>
      <c r="D787" s="2">
        <f>Raw_Data!F787</f>
        <v>128003</v>
      </c>
      <c r="E787" s="2" t="str">
        <f>Raw_Data!H787</f>
        <v>YEARLY</v>
      </c>
      <c r="F787" s="2">
        <f>Raw_Data!I787</f>
        <v>6</v>
      </c>
      <c r="G787" s="13">
        <f>D787*INDEX(Multiplier_Lookup!$C$6:$C$9,MATCH(E787,Multiplier_Lookup!$B$6:$B$9,0))</f>
        <v>128003</v>
      </c>
      <c r="H787" s="2" t="str">
        <f t="shared" si="12"/>
        <v>Delta Air Lines|Senior Developer</v>
      </c>
    </row>
    <row r="788" spans="1:8" x14ac:dyDescent="0.35">
      <c r="A788" s="2" t="str">
        <f>Raw_Data!A788</f>
        <v>Delta Air Lines</v>
      </c>
      <c r="B788" s="2" t="str">
        <f>Raw_Data!C788</f>
        <v>Software Development</v>
      </c>
      <c r="C788" s="2" t="str">
        <f>Raw_Data!D788</f>
        <v>Product Owner</v>
      </c>
      <c r="D788" s="2">
        <f>Raw_Data!F788</f>
        <v>103358</v>
      </c>
      <c r="E788" s="2" t="str">
        <f>Raw_Data!H788</f>
        <v>YEARLY</v>
      </c>
      <c r="F788" s="2">
        <f>Raw_Data!I788</f>
        <v>8</v>
      </c>
      <c r="G788" s="13">
        <f>D788*INDEX(Multiplier_Lookup!$C$6:$C$9,MATCH(E788,Multiplier_Lookup!$B$6:$B$9,0))</f>
        <v>103358</v>
      </c>
      <c r="H788" s="2" t="str">
        <f t="shared" si="12"/>
        <v>Delta Air Lines|Product Owner</v>
      </c>
    </row>
    <row r="789" spans="1:8" x14ac:dyDescent="0.35">
      <c r="A789" s="2" t="str">
        <f>Raw_Data!A789</f>
        <v>Delta Air Lines</v>
      </c>
      <c r="B789" s="2" t="str">
        <f>Raw_Data!C789</f>
        <v>Software Development</v>
      </c>
      <c r="C789" s="2" t="str">
        <f>Raw_Data!D789</f>
        <v>Product Manager</v>
      </c>
      <c r="D789" s="2">
        <f>Raw_Data!F789</f>
        <v>108975</v>
      </c>
      <c r="E789" s="2" t="str">
        <f>Raw_Data!H789</f>
        <v>YEARLY</v>
      </c>
      <c r="F789" s="2">
        <f>Raw_Data!I789</f>
        <v>8</v>
      </c>
      <c r="G789" s="13">
        <f>D789*INDEX(Multiplier_Lookup!$C$6:$C$9,MATCH(E789,Multiplier_Lookup!$B$6:$B$9,0))</f>
        <v>108975</v>
      </c>
      <c r="H789" s="2" t="str">
        <f t="shared" si="12"/>
        <v>Delta Air Lines|Product Manager</v>
      </c>
    </row>
    <row r="790" spans="1:8" x14ac:dyDescent="0.35">
      <c r="A790" s="2" t="str">
        <f>Raw_Data!A790</f>
        <v>Delta Air Lines</v>
      </c>
      <c r="B790" s="2" t="str">
        <f>Raw_Data!C790</f>
        <v>Software Development</v>
      </c>
      <c r="C790" s="2" t="str">
        <f>Raw_Data!D790</f>
        <v>DevOps Engineer</v>
      </c>
      <c r="D790" s="2">
        <f>Raw_Data!F790</f>
        <v>124503</v>
      </c>
      <c r="E790" s="2" t="str">
        <f>Raw_Data!H790</f>
        <v>YEARLY</v>
      </c>
      <c r="F790" s="2">
        <f>Raw_Data!I790</f>
        <v>4</v>
      </c>
      <c r="G790" s="13">
        <f>D790*INDEX(Multiplier_Lookup!$C$6:$C$9,MATCH(E790,Multiplier_Lookup!$B$6:$B$9,0))</f>
        <v>124503</v>
      </c>
      <c r="H790" s="2" t="str">
        <f t="shared" si="12"/>
        <v>Delta Air Lines|DevOps Engineer</v>
      </c>
    </row>
    <row r="791" spans="1:8" x14ac:dyDescent="0.35">
      <c r="A791" s="2" t="str">
        <f>Raw_Data!A791</f>
        <v>United Airlines</v>
      </c>
      <c r="B791" s="2" t="str">
        <f>Raw_Data!C791</f>
        <v>Mathematics</v>
      </c>
      <c r="C791" s="2" t="str">
        <f>Raw_Data!D791</f>
        <v>Senior Analyst</v>
      </c>
      <c r="D791" s="2">
        <f>Raw_Data!F791</f>
        <v>94005</v>
      </c>
      <c r="E791" s="2" t="str">
        <f>Raw_Data!H791</f>
        <v>YEARLY</v>
      </c>
      <c r="F791" s="2">
        <f>Raw_Data!I791</f>
        <v>14</v>
      </c>
      <c r="G791" s="13">
        <f>D791*INDEX(Multiplier_Lookup!$C$6:$C$9,MATCH(E791,Multiplier_Lookup!$B$6:$B$9,0))</f>
        <v>94005</v>
      </c>
      <c r="H791" s="2" t="str">
        <f t="shared" si="12"/>
        <v>United Airlines|Senior Analyst</v>
      </c>
    </row>
    <row r="792" spans="1:8" x14ac:dyDescent="0.35">
      <c r="A792" s="2" t="str">
        <f>Raw_Data!A792</f>
        <v>United Airlines</v>
      </c>
      <c r="B792" s="2" t="str">
        <f>Raw_Data!C792</f>
        <v>Mathematics</v>
      </c>
      <c r="C792" s="2" t="str">
        <f>Raw_Data!D792</f>
        <v>Analyst</v>
      </c>
      <c r="D792" s="2">
        <f>Raw_Data!F792</f>
        <v>73215</v>
      </c>
      <c r="E792" s="2" t="str">
        <f>Raw_Data!H792</f>
        <v>YEARLY</v>
      </c>
      <c r="F792" s="2">
        <f>Raw_Data!I792</f>
        <v>16</v>
      </c>
      <c r="G792" s="13">
        <f>D792*INDEX(Multiplier_Lookup!$C$6:$C$9,MATCH(E792,Multiplier_Lookup!$B$6:$B$9,0))</f>
        <v>73215</v>
      </c>
      <c r="H792" s="2" t="str">
        <f t="shared" si="12"/>
        <v>United Airlines|Analyst</v>
      </c>
    </row>
    <row r="793" spans="1:8" x14ac:dyDescent="0.35">
      <c r="A793" s="2" t="str">
        <f>Raw_Data!A793</f>
        <v>United Airlines</v>
      </c>
      <c r="B793" s="2" t="str">
        <f>Raw_Data!C793</f>
        <v>Mathematics</v>
      </c>
      <c r="C793" s="2" t="str">
        <f>Raw_Data!D793</f>
        <v>Associate Analyst</v>
      </c>
      <c r="D793" s="2">
        <f>Raw_Data!F793</f>
        <v>65138</v>
      </c>
      <c r="E793" s="2" t="str">
        <f>Raw_Data!H793</f>
        <v>YEARLY</v>
      </c>
      <c r="F793" s="2">
        <f>Raw_Data!I793</f>
        <v>6</v>
      </c>
      <c r="G793" s="13">
        <f>D793*INDEX(Multiplier_Lookup!$C$6:$C$9,MATCH(E793,Multiplier_Lookup!$B$6:$B$9,0))</f>
        <v>65138</v>
      </c>
      <c r="H793" s="2" t="str">
        <f t="shared" si="12"/>
        <v>United Airlines|Associate Analyst</v>
      </c>
    </row>
    <row r="794" spans="1:8" x14ac:dyDescent="0.35">
      <c r="A794" s="2" t="str">
        <f>Raw_Data!A794</f>
        <v>United Airlines</v>
      </c>
      <c r="B794" s="2" t="str">
        <f>Raw_Data!C794</f>
        <v>Mathematics</v>
      </c>
      <c r="C794" s="2" t="str">
        <f>Raw_Data!D794</f>
        <v>Business Analyst</v>
      </c>
      <c r="D794" s="2">
        <f>Raw_Data!F794</f>
        <v>113705</v>
      </c>
      <c r="E794" s="2" t="str">
        <f>Raw_Data!H794</f>
        <v>YEARLY</v>
      </c>
      <c r="F794" s="2">
        <f>Raw_Data!I794</f>
        <v>7</v>
      </c>
      <c r="G794" s="13">
        <f>D794*INDEX(Multiplier_Lookup!$C$6:$C$9,MATCH(E794,Multiplier_Lookup!$B$6:$B$9,0))</f>
        <v>113705</v>
      </c>
      <c r="H794" s="2" t="str">
        <f t="shared" si="12"/>
        <v>United Airlines|Business Analyst</v>
      </c>
    </row>
    <row r="795" spans="1:8" x14ac:dyDescent="0.35">
      <c r="A795" s="2" t="str">
        <f>Raw_Data!A795</f>
        <v>United Airlines</v>
      </c>
      <c r="B795" s="2" t="str">
        <f>Raw_Data!C795</f>
        <v>Mathematics</v>
      </c>
      <c r="C795" s="2" t="str">
        <f>Raw_Data!D795</f>
        <v>Senior Business Analyst</v>
      </c>
      <c r="D795" s="2">
        <f>Raw_Data!F795</f>
        <v>104837</v>
      </c>
      <c r="E795" s="2" t="str">
        <f>Raw_Data!H795</f>
        <v>YEARLY</v>
      </c>
      <c r="F795" s="2">
        <f>Raw_Data!I795</f>
        <v>7</v>
      </c>
      <c r="G795" s="13">
        <f>D795*INDEX(Multiplier_Lookup!$C$6:$C$9,MATCH(E795,Multiplier_Lookup!$B$6:$B$9,0))</f>
        <v>104837</v>
      </c>
      <c r="H795" s="2" t="str">
        <f t="shared" si="12"/>
        <v>United Airlines|Senior Business Analyst</v>
      </c>
    </row>
    <row r="796" spans="1:8" x14ac:dyDescent="0.35">
      <c r="A796" s="2" t="str">
        <f>Raw_Data!A796</f>
        <v>United Airlines</v>
      </c>
      <c r="B796" s="2" t="str">
        <f>Raw_Data!C796</f>
        <v>Mathematics</v>
      </c>
      <c r="C796" s="2" t="str">
        <f>Raw_Data!D796</f>
        <v>Data Scientist</v>
      </c>
      <c r="D796" s="2">
        <f>Raw_Data!F796</f>
        <v>110419</v>
      </c>
      <c r="E796" s="2" t="str">
        <f>Raw_Data!H796</f>
        <v>YEARLY</v>
      </c>
      <c r="F796" s="2">
        <f>Raw_Data!I796</f>
        <v>8</v>
      </c>
      <c r="G796" s="13">
        <f>D796*INDEX(Multiplier_Lookup!$C$6:$C$9,MATCH(E796,Multiplier_Lookup!$B$6:$B$9,0))</f>
        <v>110419</v>
      </c>
      <c r="H796" s="2" t="str">
        <f t="shared" si="12"/>
        <v>United Airlines|Data Scientist</v>
      </c>
    </row>
    <row r="797" spans="1:8" x14ac:dyDescent="0.35">
      <c r="A797" s="2" t="str">
        <f>Raw_Data!A797</f>
        <v>United Airlines</v>
      </c>
      <c r="B797" s="2" t="str">
        <f>Raw_Data!C797</f>
        <v>Mathematics</v>
      </c>
      <c r="C797" s="2" t="str">
        <f>Raw_Data!D797</f>
        <v>Pricing Analyst</v>
      </c>
      <c r="D797" s="2">
        <f>Raw_Data!F797</f>
        <v>62831</v>
      </c>
      <c r="E797" s="2" t="str">
        <f>Raw_Data!H797</f>
        <v>YEARLY</v>
      </c>
      <c r="F797" s="2">
        <f>Raw_Data!I797</f>
        <v>5</v>
      </c>
      <c r="G797" s="13">
        <f>D797*INDEX(Multiplier_Lookup!$C$6:$C$9,MATCH(E797,Multiplier_Lookup!$B$6:$B$9,0))</f>
        <v>62831</v>
      </c>
      <c r="H797" s="2" t="str">
        <f t="shared" si="12"/>
        <v>United Airlines|Pricing Analyst</v>
      </c>
    </row>
    <row r="798" spans="1:8" x14ac:dyDescent="0.35">
      <c r="A798" s="2" t="str">
        <f>Raw_Data!A798</f>
        <v>United Airlines</v>
      </c>
      <c r="B798" s="2" t="str">
        <f>Raw_Data!C798</f>
        <v>Mathematics</v>
      </c>
      <c r="C798" s="2" t="str">
        <f>Raw_Data!D798</f>
        <v>Senior Data Scientist</v>
      </c>
      <c r="D798" s="2">
        <f>Raw_Data!F798</f>
        <v>135675</v>
      </c>
      <c r="E798" s="2" t="str">
        <f>Raw_Data!H798</f>
        <v>YEARLY</v>
      </c>
      <c r="F798" s="2">
        <f>Raw_Data!I798</f>
        <v>7</v>
      </c>
      <c r="G798" s="13">
        <f>D798*INDEX(Multiplier_Lookup!$C$6:$C$9,MATCH(E798,Multiplier_Lookup!$B$6:$B$9,0))</f>
        <v>135675</v>
      </c>
      <c r="H798" s="2" t="str">
        <f t="shared" si="12"/>
        <v>United Airlines|Senior Data Scientist</v>
      </c>
    </row>
    <row r="799" spans="1:8" x14ac:dyDescent="0.35">
      <c r="A799" s="2" t="str">
        <f>Raw_Data!A799</f>
        <v>United Airlines</v>
      </c>
      <c r="B799" s="2" t="str">
        <f>Raw_Data!C799</f>
        <v>Mathematics</v>
      </c>
      <c r="C799" s="2" t="str">
        <f>Raw_Data!D799</f>
        <v>Senior Data Analyst</v>
      </c>
      <c r="D799" s="2">
        <f>Raw_Data!F799</f>
        <v>99371</v>
      </c>
      <c r="E799" s="2" t="str">
        <f>Raw_Data!H799</f>
        <v>YEARLY</v>
      </c>
      <c r="F799" s="2">
        <f>Raw_Data!I799</f>
        <v>7</v>
      </c>
      <c r="G799" s="13">
        <f>D799*INDEX(Multiplier_Lookup!$C$6:$C$9,MATCH(E799,Multiplier_Lookup!$B$6:$B$9,0))</f>
        <v>99371</v>
      </c>
      <c r="H799" s="2" t="str">
        <f t="shared" si="12"/>
        <v>United Airlines|Senior Data Analyst</v>
      </c>
    </row>
    <row r="800" spans="1:8" x14ac:dyDescent="0.35">
      <c r="A800" s="2" t="str">
        <f>Raw_Data!A800</f>
        <v>United Airlines</v>
      </c>
      <c r="B800" s="2" t="str">
        <f>Raw_Data!C800</f>
        <v>Mathematics</v>
      </c>
      <c r="C800" s="2" t="str">
        <f>Raw_Data!D800</f>
        <v>Data Analyst</v>
      </c>
      <c r="D800" s="2">
        <f>Raw_Data!F800</f>
        <v>79557</v>
      </c>
      <c r="E800" s="2" t="str">
        <f>Raw_Data!H800</f>
        <v>YEARLY</v>
      </c>
      <c r="F800" s="2">
        <f>Raw_Data!I800</f>
        <v>7</v>
      </c>
      <c r="G800" s="13">
        <f>D800*INDEX(Multiplier_Lookup!$C$6:$C$9,MATCH(E800,Multiplier_Lookup!$B$6:$B$9,0))</f>
        <v>79557</v>
      </c>
      <c r="H800" s="2" t="str">
        <f t="shared" si="12"/>
        <v>United Airlines|Data Analyst</v>
      </c>
    </row>
    <row r="801" spans="1:8" x14ac:dyDescent="0.35">
      <c r="A801" s="2" t="str">
        <f>Raw_Data!A801</f>
        <v>American Airlines</v>
      </c>
      <c r="B801" s="2" t="str">
        <f>Raw_Data!C801</f>
        <v>Management</v>
      </c>
      <c r="C801" s="2" t="str">
        <f>Raw_Data!D801</f>
        <v>Manager</v>
      </c>
      <c r="D801" s="2">
        <f>Raw_Data!F801</f>
        <v>106548</v>
      </c>
      <c r="E801" s="2" t="str">
        <f>Raw_Data!H801</f>
        <v>YEARLY</v>
      </c>
      <c r="F801" s="2">
        <f>Raw_Data!I801</f>
        <v>17</v>
      </c>
      <c r="G801" s="13">
        <f>D801*INDEX(Multiplier_Lookup!$C$6:$C$9,MATCH(E801,Multiplier_Lookup!$B$6:$B$9,0))</f>
        <v>106548</v>
      </c>
      <c r="H801" s="2" t="str">
        <f t="shared" si="12"/>
        <v>American Airlines|Manager</v>
      </c>
    </row>
    <row r="802" spans="1:8" x14ac:dyDescent="0.35">
      <c r="A802" s="2" t="str">
        <f>Raw_Data!A802</f>
        <v>American Airlines</v>
      </c>
      <c r="B802" s="2" t="str">
        <f>Raw_Data!C802</f>
        <v>Management</v>
      </c>
      <c r="C802" s="2" t="str">
        <f>Raw_Data!D802</f>
        <v>Senior Manager</v>
      </c>
      <c r="D802" s="2">
        <f>Raw_Data!F802</f>
        <v>162004</v>
      </c>
      <c r="E802" s="2" t="str">
        <f>Raw_Data!H802</f>
        <v>YEARLY</v>
      </c>
      <c r="F802" s="2">
        <f>Raw_Data!I802</f>
        <v>10</v>
      </c>
      <c r="G802" s="13">
        <f>D802*INDEX(Multiplier_Lookup!$C$6:$C$9,MATCH(E802,Multiplier_Lookup!$B$6:$B$9,0))</f>
        <v>162004</v>
      </c>
      <c r="H802" s="2" t="str">
        <f t="shared" si="12"/>
        <v>American Airlines|Senior Manager</v>
      </c>
    </row>
    <row r="803" spans="1:8" x14ac:dyDescent="0.35">
      <c r="A803" s="2" t="str">
        <f>Raw_Data!A803</f>
        <v>American Airlines</v>
      </c>
      <c r="B803" s="2" t="str">
        <f>Raw_Data!C803</f>
        <v>Management</v>
      </c>
      <c r="C803" s="2" t="str">
        <f>Raw_Data!D803</f>
        <v>Director</v>
      </c>
      <c r="D803" s="2">
        <f>Raw_Data!F803</f>
        <v>185688</v>
      </c>
      <c r="E803" s="2" t="str">
        <f>Raw_Data!H803</f>
        <v>YEARLY</v>
      </c>
      <c r="F803" s="2">
        <f>Raw_Data!I803</f>
        <v>6</v>
      </c>
      <c r="G803" s="13">
        <f>D803*INDEX(Multiplier_Lookup!$C$6:$C$9,MATCH(E803,Multiplier_Lookup!$B$6:$B$9,0))</f>
        <v>185688</v>
      </c>
      <c r="H803" s="2" t="str">
        <f t="shared" si="12"/>
        <v>American Airlines|Director</v>
      </c>
    </row>
    <row r="804" spans="1:8" x14ac:dyDescent="0.35">
      <c r="A804" s="2" t="str">
        <f>Raw_Data!A804</f>
        <v>American Airlines</v>
      </c>
      <c r="B804" s="2" t="str">
        <f>Raw_Data!C804</f>
        <v>Management</v>
      </c>
      <c r="C804" s="2" t="str">
        <f>Raw_Data!D804</f>
        <v>Captain</v>
      </c>
      <c r="D804" s="2">
        <f>Raw_Data!F804</f>
        <v>224079</v>
      </c>
      <c r="E804" s="2" t="str">
        <f>Raw_Data!H804</f>
        <v>YEARLY</v>
      </c>
      <c r="F804" s="2">
        <f>Raw_Data!I804</f>
        <v>9</v>
      </c>
      <c r="G804" s="13">
        <f>D804*INDEX(Multiplier_Lookup!$C$6:$C$9,MATCH(E804,Multiplier_Lookup!$B$6:$B$9,0))</f>
        <v>224079</v>
      </c>
      <c r="H804" s="2" t="str">
        <f t="shared" si="12"/>
        <v>American Airlines|Captain</v>
      </c>
    </row>
    <row r="805" spans="1:8" x14ac:dyDescent="0.35">
      <c r="A805" s="2" t="str">
        <f>Raw_Data!A805</f>
        <v>American Airlines</v>
      </c>
      <c r="B805" s="2" t="str">
        <f>Raw_Data!C805</f>
        <v>Management</v>
      </c>
      <c r="C805" s="2" t="str">
        <f>Raw_Data!D805</f>
        <v>Revenue Manager</v>
      </c>
      <c r="D805" s="2">
        <f>Raw_Data!F805</f>
        <v>122131</v>
      </c>
      <c r="E805" s="2" t="str">
        <f>Raw_Data!H805</f>
        <v>YEARLY</v>
      </c>
      <c r="F805" s="2">
        <f>Raw_Data!I805</f>
        <v>7</v>
      </c>
      <c r="G805" s="13">
        <f>D805*INDEX(Multiplier_Lookup!$C$6:$C$9,MATCH(E805,Multiplier_Lookup!$B$6:$B$9,0))</f>
        <v>122131</v>
      </c>
      <c r="H805" s="2" t="str">
        <f t="shared" si="12"/>
        <v>American Airlines|Revenue Manager</v>
      </c>
    </row>
    <row r="806" spans="1:8" x14ac:dyDescent="0.35">
      <c r="A806" s="2" t="str">
        <f>Raw_Data!A806</f>
        <v>American Airlines</v>
      </c>
      <c r="B806" s="2" t="str">
        <f>Raw_Data!C806</f>
        <v>Management</v>
      </c>
      <c r="C806" s="2" t="str">
        <f>Raw_Data!D806</f>
        <v>Supervisor</v>
      </c>
      <c r="D806" s="2">
        <f>Raw_Data!F806</f>
        <v>67646</v>
      </c>
      <c r="E806" s="2" t="str">
        <f>Raw_Data!H806</f>
        <v>YEARLY</v>
      </c>
      <c r="F806" s="2">
        <f>Raw_Data!I806</f>
        <v>4</v>
      </c>
      <c r="G806" s="13">
        <f>D806*INDEX(Multiplier_Lookup!$C$6:$C$9,MATCH(E806,Multiplier_Lookup!$B$6:$B$9,0))</f>
        <v>67646</v>
      </c>
      <c r="H806" s="2" t="str">
        <f t="shared" si="12"/>
        <v>American Airlines|Supervisor</v>
      </c>
    </row>
    <row r="807" spans="1:8" x14ac:dyDescent="0.35">
      <c r="A807" s="2" t="str">
        <f>Raw_Data!A807</f>
        <v>American Airlines</v>
      </c>
      <c r="B807" s="2" t="str">
        <f>Raw_Data!C807</f>
        <v>Management</v>
      </c>
      <c r="C807" s="2" t="str">
        <f>Raw_Data!D807</f>
        <v>Senior Operations Manager</v>
      </c>
      <c r="D807" s="2">
        <f>Raw_Data!F807</f>
        <v>166162</v>
      </c>
      <c r="E807" s="2" t="str">
        <f>Raw_Data!H807</f>
        <v>YEARLY</v>
      </c>
      <c r="F807" s="2">
        <f>Raw_Data!I807</f>
        <v>4</v>
      </c>
      <c r="G807" s="13">
        <f>D807*INDEX(Multiplier_Lookup!$C$6:$C$9,MATCH(E807,Multiplier_Lookup!$B$6:$B$9,0))</f>
        <v>166162</v>
      </c>
      <c r="H807" s="2" t="str">
        <f t="shared" si="12"/>
        <v>American Airlines|Senior Operations Manager</v>
      </c>
    </row>
    <row r="808" spans="1:8" x14ac:dyDescent="0.35">
      <c r="A808" s="2" t="str">
        <f>Raw_Data!A808</f>
        <v>American Airlines</v>
      </c>
      <c r="B808" s="2" t="str">
        <f>Raw_Data!C808</f>
        <v>Management</v>
      </c>
      <c r="C808" s="2" t="str">
        <f>Raw_Data!D808</f>
        <v>Duty Manager</v>
      </c>
      <c r="D808" s="2">
        <f>Raw_Data!F808</f>
        <v>64874</v>
      </c>
      <c r="E808" s="2" t="str">
        <f>Raw_Data!H808</f>
        <v>YEARLY</v>
      </c>
      <c r="F808" s="2">
        <f>Raw_Data!I808</f>
        <v>4</v>
      </c>
      <c r="G808" s="13">
        <f>D808*INDEX(Multiplier_Lookup!$C$6:$C$9,MATCH(E808,Multiplier_Lookup!$B$6:$B$9,0))</f>
        <v>64874</v>
      </c>
      <c r="H808" s="2" t="str">
        <f t="shared" si="12"/>
        <v>American Airlines|Duty Manager</v>
      </c>
    </row>
    <row r="809" spans="1:8" x14ac:dyDescent="0.35">
      <c r="A809" s="2" t="str">
        <f>Raw_Data!A809</f>
        <v>American Airlines</v>
      </c>
      <c r="B809" s="2" t="str">
        <f>Raw_Data!C809</f>
        <v>Management</v>
      </c>
      <c r="C809" s="2" t="str">
        <f>Raw_Data!D809</f>
        <v>Service Manager</v>
      </c>
      <c r="D809" s="2">
        <f>Raw_Data!F809</f>
        <v>64003</v>
      </c>
      <c r="E809" s="2" t="str">
        <f>Raw_Data!H809</f>
        <v>YEARLY</v>
      </c>
      <c r="F809" s="2">
        <f>Raw_Data!I809</f>
        <v>3</v>
      </c>
      <c r="G809" s="13">
        <f>D809*INDEX(Multiplier_Lookup!$C$6:$C$9,MATCH(E809,Multiplier_Lookup!$B$6:$B$9,0))</f>
        <v>64003</v>
      </c>
      <c r="H809" s="2" t="str">
        <f t="shared" si="12"/>
        <v>American Airlines|Service Manager</v>
      </c>
    </row>
    <row r="810" spans="1:8" x14ac:dyDescent="0.35">
      <c r="A810" s="2" t="str">
        <f>Raw_Data!A810</f>
        <v>American Airlines</v>
      </c>
      <c r="B810" s="2" t="str">
        <f>Raw_Data!C810</f>
        <v>Management</v>
      </c>
      <c r="C810" s="2" t="str">
        <f>Raw_Data!D810</f>
        <v>Crew Supervisor</v>
      </c>
      <c r="D810" s="2">
        <f>Raw_Data!F810</f>
        <v>35.74</v>
      </c>
      <c r="E810" s="2" t="str">
        <f>Raw_Data!H810</f>
        <v>HOURLY</v>
      </c>
      <c r="F810" s="2">
        <f>Raw_Data!I810</f>
        <v>3</v>
      </c>
      <c r="G810" s="13">
        <f>D810*INDEX(Multiplier_Lookup!$C$6:$C$9,MATCH(E810,Multiplier_Lookup!$B$6:$B$9,0))</f>
        <v>74339.199999999997</v>
      </c>
      <c r="H810" s="2" t="str">
        <f t="shared" si="12"/>
        <v>American Airlines|Crew Supervisor</v>
      </c>
    </row>
    <row r="811" spans="1:8" x14ac:dyDescent="0.35">
      <c r="A811" s="2" t="str">
        <f>Raw_Data!A811</f>
        <v>The Coca-Cola Company</v>
      </c>
      <c r="B811" s="2" t="str">
        <f>Raw_Data!C811</f>
        <v>Loading and Stocking</v>
      </c>
      <c r="C811" s="2" t="str">
        <f>Raw_Data!D811</f>
        <v>Order Picker</v>
      </c>
      <c r="D811" s="2">
        <f>Raw_Data!F811</f>
        <v>18.46</v>
      </c>
      <c r="E811" s="2" t="str">
        <f>Raw_Data!H811</f>
        <v>HOURLY</v>
      </c>
      <c r="F811" s="2">
        <f>Raw_Data!I811</f>
        <v>15</v>
      </c>
      <c r="G811" s="13">
        <f>D811*INDEX(Multiplier_Lookup!$C$6:$C$9,MATCH(E811,Multiplier_Lookup!$B$6:$B$9,0))</f>
        <v>38396.800000000003</v>
      </c>
      <c r="H811" s="2" t="str">
        <f t="shared" si="12"/>
        <v>The Coca-Cola Company|Order Picker</v>
      </c>
    </row>
    <row r="812" spans="1:8" x14ac:dyDescent="0.35">
      <c r="A812" s="2" t="str">
        <f>Raw_Data!A812</f>
        <v>The Coca-Cola Company</v>
      </c>
      <c r="B812" s="2" t="str">
        <f>Raw_Data!C812</f>
        <v>Loading and Stocking</v>
      </c>
      <c r="C812" s="2" t="str">
        <f>Raw_Data!D812</f>
        <v>Stocker</v>
      </c>
      <c r="D812" s="2">
        <f>Raw_Data!F812</f>
        <v>18.05</v>
      </c>
      <c r="E812" s="2" t="str">
        <f>Raw_Data!H812</f>
        <v>HOURLY</v>
      </c>
      <c r="F812" s="2">
        <f>Raw_Data!I812</f>
        <v>16</v>
      </c>
      <c r="G812" s="13">
        <f>D812*INDEX(Multiplier_Lookup!$C$6:$C$9,MATCH(E812,Multiplier_Lookup!$B$6:$B$9,0))</f>
        <v>37544</v>
      </c>
      <c r="H812" s="2" t="str">
        <f t="shared" si="12"/>
        <v>The Coca-Cola Company|Stocker</v>
      </c>
    </row>
    <row r="813" spans="1:8" x14ac:dyDescent="0.35">
      <c r="A813" s="2" t="str">
        <f>Raw_Data!A813</f>
        <v>The Coca-Cola Company</v>
      </c>
      <c r="B813" s="2" t="str">
        <f>Raw_Data!C813</f>
        <v>Loading and Stocking</v>
      </c>
      <c r="C813" s="2" t="str">
        <f>Raw_Data!D813</f>
        <v>Driver Merchandiser</v>
      </c>
      <c r="D813" s="2">
        <f>Raw_Data!F813</f>
        <v>26.08</v>
      </c>
      <c r="E813" s="2" t="str">
        <f>Raw_Data!H813</f>
        <v>HOURLY</v>
      </c>
      <c r="F813" s="2">
        <f>Raw_Data!I813</f>
        <v>12</v>
      </c>
      <c r="G813" s="13">
        <f>D813*INDEX(Multiplier_Lookup!$C$6:$C$9,MATCH(E813,Multiplier_Lookup!$B$6:$B$9,0))</f>
        <v>54246.399999999994</v>
      </c>
      <c r="H813" s="2" t="str">
        <f t="shared" si="12"/>
        <v>The Coca-Cola Company|Driver Merchandiser</v>
      </c>
    </row>
    <row r="814" spans="1:8" x14ac:dyDescent="0.35">
      <c r="A814" s="2" t="str">
        <f>Raw_Data!A814</f>
        <v>The Coca-Cola Company</v>
      </c>
      <c r="B814" s="2" t="str">
        <f>Raw_Data!C814</f>
        <v>Loading and Stocking</v>
      </c>
      <c r="C814" s="2" t="str">
        <f>Raw_Data!D814</f>
        <v>Material Handler</v>
      </c>
      <c r="D814" s="2">
        <f>Raw_Data!F814</f>
        <v>16.45</v>
      </c>
      <c r="E814" s="2" t="str">
        <f>Raw_Data!H814</f>
        <v>HOURLY</v>
      </c>
      <c r="F814" s="2">
        <f>Raw_Data!I814</f>
        <v>18</v>
      </c>
      <c r="G814" s="13">
        <f>D814*INDEX(Multiplier_Lookup!$C$6:$C$9,MATCH(E814,Multiplier_Lookup!$B$6:$B$9,0))</f>
        <v>34216</v>
      </c>
      <c r="H814" s="2" t="str">
        <f t="shared" si="12"/>
        <v>The Coca-Cola Company|Material Handler</v>
      </c>
    </row>
    <row r="815" spans="1:8" x14ac:dyDescent="0.35">
      <c r="A815" s="2" t="str">
        <f>Raw_Data!A815</f>
        <v>The Coca-Cola Company</v>
      </c>
      <c r="B815" s="2" t="str">
        <f>Raw_Data!C815</f>
        <v>Loading and Stocking</v>
      </c>
      <c r="C815" s="2" t="str">
        <f>Raw_Data!D815</f>
        <v>Forklift Operator</v>
      </c>
      <c r="D815" s="2">
        <f>Raw_Data!F815</f>
        <v>19.66</v>
      </c>
      <c r="E815" s="2" t="str">
        <f>Raw_Data!H815</f>
        <v>HOURLY</v>
      </c>
      <c r="F815" s="2">
        <f>Raw_Data!I815</f>
        <v>5</v>
      </c>
      <c r="G815" s="13">
        <f>D815*INDEX(Multiplier_Lookup!$C$6:$C$9,MATCH(E815,Multiplier_Lookup!$B$6:$B$9,0))</f>
        <v>40892.800000000003</v>
      </c>
      <c r="H815" s="2" t="str">
        <f t="shared" si="12"/>
        <v>The Coca-Cola Company|Forklift Operator</v>
      </c>
    </row>
    <row r="816" spans="1:8" x14ac:dyDescent="0.35">
      <c r="A816" s="2" t="str">
        <f>Raw_Data!A816</f>
        <v>The Coca-Cola Company</v>
      </c>
      <c r="B816" s="2" t="str">
        <f>Raw_Data!C816</f>
        <v>Loading and Stocking</v>
      </c>
      <c r="C816" s="2" t="str">
        <f>Raw_Data!D816</f>
        <v>Warehouse Worker</v>
      </c>
      <c r="D816" s="2">
        <f>Raw_Data!F816</f>
        <v>20.18</v>
      </c>
      <c r="E816" s="2" t="str">
        <f>Raw_Data!H816</f>
        <v>HOURLY</v>
      </c>
      <c r="F816" s="2">
        <f>Raw_Data!I816</f>
        <v>5</v>
      </c>
      <c r="G816" s="13">
        <f>D816*INDEX(Multiplier_Lookup!$C$6:$C$9,MATCH(E816,Multiplier_Lookup!$B$6:$B$9,0))</f>
        <v>41974.400000000001</v>
      </c>
      <c r="H816" s="2" t="str">
        <f t="shared" si="12"/>
        <v>The Coca-Cola Company|Warehouse Worker</v>
      </c>
    </row>
    <row r="817" spans="1:8" x14ac:dyDescent="0.35">
      <c r="A817" s="2" t="str">
        <f>Raw_Data!A817</f>
        <v>The Coca-Cola Company</v>
      </c>
      <c r="B817" s="2" t="str">
        <f>Raw_Data!C817</f>
        <v>Loading and Stocking</v>
      </c>
      <c r="C817" s="2" t="str">
        <f>Raw_Data!D817</f>
        <v>Warehouse Supervisor</v>
      </c>
      <c r="D817" s="2">
        <f>Raw_Data!F817</f>
        <v>51.47</v>
      </c>
      <c r="E817" s="2" t="str">
        <f>Raw_Data!H817</f>
        <v>HOURLY</v>
      </c>
      <c r="F817" s="2">
        <f>Raw_Data!I817</f>
        <v>4</v>
      </c>
      <c r="G817" s="13">
        <f>D817*INDEX(Multiplier_Lookup!$C$6:$C$9,MATCH(E817,Multiplier_Lookup!$B$6:$B$9,0))</f>
        <v>107057.59999999999</v>
      </c>
      <c r="H817" s="2" t="str">
        <f t="shared" si="12"/>
        <v>The Coca-Cola Company|Warehouse Supervisor</v>
      </c>
    </row>
    <row r="818" spans="1:8" x14ac:dyDescent="0.35">
      <c r="A818" s="2" t="str">
        <f>Raw_Data!A818</f>
        <v>The Coca-Cola Company</v>
      </c>
      <c r="B818" s="2" t="str">
        <f>Raw_Data!C818</f>
        <v>Loading and Stocking</v>
      </c>
      <c r="C818" s="2" t="str">
        <f>Raw_Data!D818</f>
        <v>Driver Assistant</v>
      </c>
      <c r="D818" s="2">
        <f>Raw_Data!F818</f>
        <v>20.98</v>
      </c>
      <c r="E818" s="2" t="str">
        <f>Raw_Data!H818</f>
        <v>HOURLY</v>
      </c>
      <c r="F818" s="2">
        <f>Raw_Data!I818</f>
        <v>4</v>
      </c>
      <c r="G818" s="13">
        <f>D818*INDEX(Multiplier_Lookup!$C$6:$C$9,MATCH(E818,Multiplier_Lookup!$B$6:$B$9,0))</f>
        <v>43638.400000000001</v>
      </c>
      <c r="H818" s="2" t="str">
        <f t="shared" si="12"/>
        <v>The Coca-Cola Company|Driver Assistant</v>
      </c>
    </row>
    <row r="819" spans="1:8" x14ac:dyDescent="0.35">
      <c r="A819" s="2" t="str">
        <f>Raw_Data!A819</f>
        <v>The Coca-Cola Company</v>
      </c>
      <c r="B819" s="2" t="str">
        <f>Raw_Data!C819</f>
        <v>Loading and Stocking</v>
      </c>
      <c r="C819" s="2" t="str">
        <f>Raw_Data!D819</f>
        <v>Mover/Driver</v>
      </c>
      <c r="D819" s="2">
        <f>Raw_Data!F819</f>
        <v>22.45</v>
      </c>
      <c r="E819" s="2" t="str">
        <f>Raw_Data!H819</f>
        <v>HOURLY</v>
      </c>
      <c r="F819" s="2">
        <f>Raw_Data!I819</f>
        <v>3</v>
      </c>
      <c r="G819" s="13">
        <f>D819*INDEX(Multiplier_Lookup!$C$6:$C$9,MATCH(E819,Multiplier_Lookup!$B$6:$B$9,0))</f>
        <v>46696</v>
      </c>
      <c r="H819" s="2" t="str">
        <f t="shared" si="12"/>
        <v>The Coca-Cola Company|Mover/Driver</v>
      </c>
    </row>
    <row r="820" spans="1:8" x14ac:dyDescent="0.35">
      <c r="A820" s="2" t="str">
        <f>Raw_Data!A820</f>
        <v>The Coca-Cola Company</v>
      </c>
      <c r="B820" s="2" t="str">
        <f>Raw_Data!C820</f>
        <v>Loading and Stocking</v>
      </c>
      <c r="C820" s="2" t="str">
        <f>Raw_Data!D820</f>
        <v>Warehouse Clerk</v>
      </c>
      <c r="D820" s="2">
        <f>Raw_Data!F820</f>
        <v>18.25</v>
      </c>
      <c r="E820" s="2" t="str">
        <f>Raw_Data!H820</f>
        <v>HOURLY</v>
      </c>
      <c r="F820" s="2">
        <f>Raw_Data!I820</f>
        <v>1</v>
      </c>
      <c r="G820" s="13">
        <f>D820*INDEX(Multiplier_Lookup!$C$6:$C$9,MATCH(E820,Multiplier_Lookup!$B$6:$B$9,0))</f>
        <v>37960</v>
      </c>
      <c r="H820" s="2" t="str">
        <f t="shared" si="12"/>
        <v>The Coca-Cola Company|Warehouse Clerk</v>
      </c>
    </row>
    <row r="821" spans="1:8" x14ac:dyDescent="0.35">
      <c r="A821" s="2" t="str">
        <f>Raw_Data!A821</f>
        <v>Johnson &amp; Johnson</v>
      </c>
      <c r="B821" s="2" t="str">
        <f>Raw_Data!C821</f>
        <v>Sales</v>
      </c>
      <c r="C821" s="2" t="str">
        <f>Raw_Data!D821</f>
        <v>Sales Representative</v>
      </c>
      <c r="D821" s="2">
        <f>Raw_Data!F821</f>
        <v>98207</v>
      </c>
      <c r="E821" s="2" t="str">
        <f>Raw_Data!H821</f>
        <v>YEARLY</v>
      </c>
      <c r="F821" s="2">
        <f>Raw_Data!I821</f>
        <v>7</v>
      </c>
      <c r="G821" s="13">
        <f>D821*INDEX(Multiplier_Lookup!$C$6:$C$9,MATCH(E821,Multiplier_Lookup!$B$6:$B$9,0))</f>
        <v>98207</v>
      </c>
      <c r="H821" s="2" t="str">
        <f t="shared" si="12"/>
        <v>Johnson &amp; Johnson|Sales Representative</v>
      </c>
    </row>
    <row r="822" spans="1:8" x14ac:dyDescent="0.35">
      <c r="A822" s="2" t="str">
        <f>Raw_Data!A822</f>
        <v>Johnson &amp; Johnson</v>
      </c>
      <c r="B822" s="2" t="str">
        <f>Raw_Data!C822</f>
        <v>Sales</v>
      </c>
      <c r="C822" s="2" t="str">
        <f>Raw_Data!D822</f>
        <v>Sales Specialist</v>
      </c>
      <c r="D822" s="2">
        <f>Raw_Data!F822</f>
        <v>117872</v>
      </c>
      <c r="E822" s="2" t="str">
        <f>Raw_Data!H822</f>
        <v>YEARLY</v>
      </c>
      <c r="F822" s="2">
        <f>Raw_Data!I822</f>
        <v>14</v>
      </c>
      <c r="G822" s="13">
        <f>D822*INDEX(Multiplier_Lookup!$C$6:$C$9,MATCH(E822,Multiplier_Lookup!$B$6:$B$9,0))</f>
        <v>117872</v>
      </c>
      <c r="H822" s="2" t="str">
        <f t="shared" si="12"/>
        <v>Johnson &amp; Johnson|Sales Specialist</v>
      </c>
    </row>
    <row r="823" spans="1:8" x14ac:dyDescent="0.35">
      <c r="A823" s="2" t="str">
        <f>Raw_Data!A823</f>
        <v>Johnson &amp; Johnson</v>
      </c>
      <c r="B823" s="2" t="str">
        <f>Raw_Data!C823</f>
        <v>Sales</v>
      </c>
      <c r="C823" s="2" t="str">
        <f>Raw_Data!D823</f>
        <v>Account Specialist</v>
      </c>
      <c r="D823" s="2">
        <f>Raw_Data!F823</f>
        <v>110276</v>
      </c>
      <c r="E823" s="2" t="str">
        <f>Raw_Data!H823</f>
        <v>YEARLY</v>
      </c>
      <c r="F823" s="2">
        <f>Raw_Data!I823</f>
        <v>9</v>
      </c>
      <c r="G823" s="13">
        <f>D823*INDEX(Multiplier_Lookup!$C$6:$C$9,MATCH(E823,Multiplier_Lookup!$B$6:$B$9,0))</f>
        <v>110276</v>
      </c>
      <c r="H823" s="2" t="str">
        <f t="shared" si="12"/>
        <v>Johnson &amp; Johnson|Account Specialist</v>
      </c>
    </row>
    <row r="824" spans="1:8" x14ac:dyDescent="0.35">
      <c r="A824" s="2" t="str">
        <f>Raw_Data!A824</f>
        <v>Johnson &amp; Johnson</v>
      </c>
      <c r="B824" s="2" t="str">
        <f>Raw_Data!C824</f>
        <v>Sales</v>
      </c>
      <c r="C824" s="2" t="str">
        <f>Raw_Data!D824</f>
        <v>Account Executive</v>
      </c>
      <c r="D824" s="2">
        <f>Raw_Data!F824</f>
        <v>74035</v>
      </c>
      <c r="E824" s="2" t="str">
        <f>Raw_Data!H824</f>
        <v>YEARLY</v>
      </c>
      <c r="F824" s="2">
        <f>Raw_Data!I824</f>
        <v>6</v>
      </c>
      <c r="G824" s="13">
        <f>D824*INDEX(Multiplier_Lookup!$C$6:$C$9,MATCH(E824,Multiplier_Lookup!$B$6:$B$9,0))</f>
        <v>74035</v>
      </c>
      <c r="H824" s="2" t="str">
        <f t="shared" si="12"/>
        <v>Johnson &amp; Johnson|Account Executive</v>
      </c>
    </row>
    <row r="825" spans="1:8" x14ac:dyDescent="0.35">
      <c r="A825" s="2" t="str">
        <f>Raw_Data!A825</f>
        <v>Johnson &amp; Johnson</v>
      </c>
      <c r="B825" s="2" t="str">
        <f>Raw_Data!C825</f>
        <v>Sales</v>
      </c>
      <c r="C825" s="2" t="str">
        <f>Raw_Data!D825</f>
        <v>Key Account Manager</v>
      </c>
      <c r="D825" s="2">
        <f>Raw_Data!F825</f>
        <v>171170</v>
      </c>
      <c r="E825" s="2" t="str">
        <f>Raw_Data!H825</f>
        <v>YEARLY</v>
      </c>
      <c r="F825" s="2">
        <f>Raw_Data!I825</f>
        <v>7</v>
      </c>
      <c r="G825" s="13">
        <f>D825*INDEX(Multiplier_Lookup!$C$6:$C$9,MATCH(E825,Multiplier_Lookup!$B$6:$B$9,0))</f>
        <v>171170</v>
      </c>
      <c r="H825" s="2" t="str">
        <f t="shared" si="12"/>
        <v>Johnson &amp; Johnson|Key Account Manager</v>
      </c>
    </row>
    <row r="826" spans="1:8" x14ac:dyDescent="0.35">
      <c r="A826" s="2" t="str">
        <f>Raw_Data!A826</f>
        <v>Johnson &amp; Johnson</v>
      </c>
      <c r="B826" s="2" t="str">
        <f>Raw_Data!C826</f>
        <v>Sales</v>
      </c>
      <c r="C826" s="2" t="str">
        <f>Raw_Data!D826</f>
        <v>Territory Manager</v>
      </c>
      <c r="D826" s="2">
        <f>Raw_Data!F826</f>
        <v>113699</v>
      </c>
      <c r="E826" s="2" t="str">
        <f>Raw_Data!H826</f>
        <v>YEARLY</v>
      </c>
      <c r="F826" s="2">
        <f>Raw_Data!I826</f>
        <v>6</v>
      </c>
      <c r="G826" s="13">
        <f>D826*INDEX(Multiplier_Lookup!$C$6:$C$9,MATCH(E826,Multiplier_Lookup!$B$6:$B$9,0))</f>
        <v>113699</v>
      </c>
      <c r="H826" s="2" t="str">
        <f t="shared" si="12"/>
        <v>Johnson &amp; Johnson|Territory Manager</v>
      </c>
    </row>
    <row r="827" spans="1:8" x14ac:dyDescent="0.35">
      <c r="A827" s="2" t="str">
        <f>Raw_Data!A827</f>
        <v>Johnson &amp; Johnson</v>
      </c>
      <c r="B827" s="2" t="str">
        <f>Raw_Data!C827</f>
        <v>Sales</v>
      </c>
      <c r="C827" s="2" t="str">
        <f>Raw_Data!D827</f>
        <v>Senior Account Specialist</v>
      </c>
      <c r="D827" s="2">
        <f>Raw_Data!F827</f>
        <v>105109</v>
      </c>
      <c r="E827" s="2" t="str">
        <f>Raw_Data!H827</f>
        <v>YEARLY</v>
      </c>
      <c r="F827" s="2">
        <f>Raw_Data!I827</f>
        <v>6</v>
      </c>
      <c r="G827" s="13">
        <f>D827*INDEX(Multiplier_Lookup!$C$6:$C$9,MATCH(E827,Multiplier_Lookup!$B$6:$B$9,0))</f>
        <v>105109</v>
      </c>
      <c r="H827" s="2" t="str">
        <f t="shared" si="12"/>
        <v>Johnson &amp; Johnson|Senior Account Specialist</v>
      </c>
    </row>
    <row r="828" spans="1:8" x14ac:dyDescent="0.35">
      <c r="A828" s="2" t="str">
        <f>Raw_Data!A828</f>
        <v>Johnson &amp; Johnson</v>
      </c>
      <c r="B828" s="2" t="str">
        <f>Raw_Data!C828</f>
        <v>Sales</v>
      </c>
      <c r="C828" s="2" t="str">
        <f>Raw_Data!D828</f>
        <v>Sales Associate</v>
      </c>
      <c r="D828" s="2">
        <f>Raw_Data!F828</f>
        <v>70274</v>
      </c>
      <c r="E828" s="2" t="str">
        <f>Raw_Data!H828</f>
        <v>YEARLY</v>
      </c>
      <c r="F828" s="2">
        <f>Raw_Data!I828</f>
        <v>6</v>
      </c>
      <c r="G828" s="13">
        <f>D828*INDEX(Multiplier_Lookup!$C$6:$C$9,MATCH(E828,Multiplier_Lookup!$B$6:$B$9,0))</f>
        <v>70274</v>
      </c>
      <c r="H828" s="2" t="str">
        <f t="shared" si="12"/>
        <v>Johnson &amp; Johnson|Sales Associate</v>
      </c>
    </row>
    <row r="829" spans="1:8" x14ac:dyDescent="0.35">
      <c r="A829" s="2" t="str">
        <f>Raw_Data!A829</f>
        <v>Johnson &amp; Johnson</v>
      </c>
      <c r="B829" s="2" t="str">
        <f>Raw_Data!C829</f>
        <v>Sales</v>
      </c>
      <c r="C829" s="2" t="str">
        <f>Raw_Data!D829</f>
        <v>Sales Consultant</v>
      </c>
      <c r="D829" s="2">
        <f>Raw_Data!F829</f>
        <v>115917</v>
      </c>
      <c r="E829" s="2" t="str">
        <f>Raw_Data!H829</f>
        <v>YEARLY</v>
      </c>
      <c r="F829" s="2">
        <f>Raw_Data!I829</f>
        <v>5</v>
      </c>
      <c r="G829" s="13">
        <f>D829*INDEX(Multiplier_Lookup!$C$6:$C$9,MATCH(E829,Multiplier_Lookup!$B$6:$B$9,0))</f>
        <v>115917</v>
      </c>
      <c r="H829" s="2" t="str">
        <f t="shared" si="12"/>
        <v>Johnson &amp; Johnson|Sales Consultant</v>
      </c>
    </row>
    <row r="830" spans="1:8" x14ac:dyDescent="0.35">
      <c r="A830" s="2" t="str">
        <f>Raw_Data!A830</f>
        <v>Johnson &amp; Johnson</v>
      </c>
      <c r="B830" s="2" t="str">
        <f>Raw_Data!C830</f>
        <v>Sales</v>
      </c>
      <c r="C830" s="2" t="str">
        <f>Raw_Data!D830</f>
        <v>Regional Sales Manager</v>
      </c>
      <c r="D830" s="2">
        <f>Raw_Data!F830</f>
        <v>156448</v>
      </c>
      <c r="E830" s="2" t="str">
        <f>Raw_Data!H830</f>
        <v>YEARLY</v>
      </c>
      <c r="F830" s="2">
        <f>Raw_Data!I830</f>
        <v>5</v>
      </c>
      <c r="G830" s="13">
        <f>D830*INDEX(Multiplier_Lookup!$C$6:$C$9,MATCH(E830,Multiplier_Lookup!$B$6:$B$9,0))</f>
        <v>156448</v>
      </c>
      <c r="H830" s="2" t="str">
        <f t="shared" si="12"/>
        <v>Johnson &amp; Johnson|Regional Sales Manager</v>
      </c>
    </row>
    <row r="831" spans="1:8" x14ac:dyDescent="0.35">
      <c r="A831" s="2" t="str">
        <f>Raw_Data!A831</f>
        <v>Pfizer</v>
      </c>
      <c r="B831" s="2" t="str">
        <f>Raw_Data!C831</f>
        <v>Software Development</v>
      </c>
      <c r="C831" s="2" t="str">
        <f>Raw_Data!D831</f>
        <v>Principal Software Engineer</v>
      </c>
      <c r="D831" s="2">
        <f>Raw_Data!F831</f>
        <v>192602</v>
      </c>
      <c r="E831" s="2" t="str">
        <f>Raw_Data!H831</f>
        <v>YEARLY</v>
      </c>
      <c r="F831" s="2">
        <f>Raw_Data!I831</f>
        <v>9</v>
      </c>
      <c r="G831" s="13">
        <f>D831*INDEX(Multiplier_Lookup!$C$6:$C$9,MATCH(E831,Multiplier_Lookup!$B$6:$B$9,0))</f>
        <v>192602</v>
      </c>
      <c r="H831" s="2" t="str">
        <f t="shared" si="12"/>
        <v>Pfizer|Principal Software Engineer</v>
      </c>
    </row>
    <row r="832" spans="1:8" x14ac:dyDescent="0.35">
      <c r="A832" s="2" t="str">
        <f>Raw_Data!A832</f>
        <v>Pfizer</v>
      </c>
      <c r="B832" s="2" t="str">
        <f>Raw_Data!C832</f>
        <v>Software Development</v>
      </c>
      <c r="C832" s="2" t="str">
        <f>Raw_Data!D832</f>
        <v>Machine Learning Engineer</v>
      </c>
      <c r="D832" s="2">
        <f>Raw_Data!F832</f>
        <v>129502</v>
      </c>
      <c r="E832" s="2" t="str">
        <f>Raw_Data!H832</f>
        <v>YEARLY</v>
      </c>
      <c r="F832" s="2">
        <f>Raw_Data!I832</f>
        <v>9</v>
      </c>
      <c r="G832" s="13">
        <f>D832*INDEX(Multiplier_Lookup!$C$6:$C$9,MATCH(E832,Multiplier_Lookup!$B$6:$B$9,0))</f>
        <v>129502</v>
      </c>
      <c r="H832" s="2" t="str">
        <f t="shared" si="12"/>
        <v>Pfizer|Machine Learning Engineer</v>
      </c>
    </row>
    <row r="833" spans="1:8" x14ac:dyDescent="0.35">
      <c r="A833" s="2" t="str">
        <f>Raw_Data!A833</f>
        <v>Pfizer</v>
      </c>
      <c r="B833" s="2" t="str">
        <f>Raw_Data!C833</f>
        <v>Software Development</v>
      </c>
      <c r="C833" s="2" t="str">
        <f>Raw_Data!D833</f>
        <v>Product Owner</v>
      </c>
      <c r="D833" s="2">
        <f>Raw_Data!F833</f>
        <v>182872</v>
      </c>
      <c r="E833" s="2" t="str">
        <f>Raw_Data!H833</f>
        <v>YEARLY</v>
      </c>
      <c r="F833" s="2">
        <f>Raw_Data!I833</f>
        <v>8</v>
      </c>
      <c r="G833" s="13">
        <f>D833*INDEX(Multiplier_Lookup!$C$6:$C$9,MATCH(E833,Multiplier_Lookup!$B$6:$B$9,0))</f>
        <v>182872</v>
      </c>
      <c r="H833" s="2" t="str">
        <f t="shared" si="12"/>
        <v>Pfizer|Product Owner</v>
      </c>
    </row>
    <row r="834" spans="1:8" x14ac:dyDescent="0.35">
      <c r="A834" s="2" t="str">
        <f>Raw_Data!A834</f>
        <v>Pfizer</v>
      </c>
      <c r="B834" s="2" t="str">
        <f>Raw_Data!C834</f>
        <v>Software Development</v>
      </c>
      <c r="C834" s="2" t="str">
        <f>Raw_Data!D834</f>
        <v>Software Engineer</v>
      </c>
      <c r="D834" s="2">
        <f>Raw_Data!F834</f>
        <v>119836</v>
      </c>
      <c r="E834" s="2" t="str">
        <f>Raw_Data!H834</f>
        <v>YEARLY</v>
      </c>
      <c r="F834" s="2">
        <f>Raw_Data!I834</f>
        <v>7</v>
      </c>
      <c r="G834" s="13">
        <f>D834*INDEX(Multiplier_Lookup!$C$6:$C$9,MATCH(E834,Multiplier_Lookup!$B$6:$B$9,0))</f>
        <v>119836</v>
      </c>
      <c r="H834" s="2" t="str">
        <f t="shared" ref="H834:H897" si="13">A834&amp;"|"&amp;C834</f>
        <v>Pfizer|Software Engineer</v>
      </c>
    </row>
    <row r="835" spans="1:8" x14ac:dyDescent="0.35">
      <c r="A835" s="2" t="str">
        <f>Raw_Data!A835</f>
        <v>Pfizer</v>
      </c>
      <c r="B835" s="2" t="str">
        <f>Raw_Data!C835</f>
        <v>Software Development</v>
      </c>
      <c r="C835" s="2" t="str">
        <f>Raw_Data!D835</f>
        <v>Engineering Lead</v>
      </c>
      <c r="D835" s="2">
        <f>Raw_Data!F835</f>
        <v>125382</v>
      </c>
      <c r="E835" s="2" t="str">
        <f>Raw_Data!H835</f>
        <v>YEARLY</v>
      </c>
      <c r="F835" s="2">
        <f>Raw_Data!I835</f>
        <v>7</v>
      </c>
      <c r="G835" s="13">
        <f>D835*INDEX(Multiplier_Lookup!$C$6:$C$9,MATCH(E835,Multiplier_Lookup!$B$6:$B$9,0))</f>
        <v>125382</v>
      </c>
      <c r="H835" s="2" t="str">
        <f t="shared" si="13"/>
        <v>Pfizer|Engineering Lead</v>
      </c>
    </row>
    <row r="836" spans="1:8" x14ac:dyDescent="0.35">
      <c r="A836" s="2" t="str">
        <f>Raw_Data!A836</f>
        <v>Pfizer</v>
      </c>
      <c r="B836" s="2" t="str">
        <f>Raw_Data!C836</f>
        <v>Software Development</v>
      </c>
      <c r="C836" s="2" t="str">
        <f>Raw_Data!D836</f>
        <v>Data Engineer</v>
      </c>
      <c r="D836" s="2">
        <f>Raw_Data!F836</f>
        <v>129646</v>
      </c>
      <c r="E836" s="2" t="str">
        <f>Raw_Data!H836</f>
        <v>YEARLY</v>
      </c>
      <c r="F836" s="2">
        <f>Raw_Data!I836</f>
        <v>6</v>
      </c>
      <c r="G836" s="13">
        <f>D836*INDEX(Multiplier_Lookup!$C$6:$C$9,MATCH(E836,Multiplier_Lookup!$B$6:$B$9,0))</f>
        <v>129646</v>
      </c>
      <c r="H836" s="2" t="str">
        <f t="shared" si="13"/>
        <v>Pfizer|Data Engineer</v>
      </c>
    </row>
    <row r="837" spans="1:8" x14ac:dyDescent="0.35">
      <c r="A837" s="2" t="str">
        <f>Raw_Data!A837</f>
        <v>Pfizer</v>
      </c>
      <c r="B837" s="2" t="str">
        <f>Raw_Data!C837</f>
        <v>Software Development</v>
      </c>
      <c r="C837" s="2" t="str">
        <f>Raw_Data!D837</f>
        <v>Director of Product Management</v>
      </c>
      <c r="D837" s="2">
        <f>Raw_Data!F837</f>
        <v>209548</v>
      </c>
      <c r="E837" s="2" t="str">
        <f>Raw_Data!H837</f>
        <v>YEARLY</v>
      </c>
      <c r="F837" s="2">
        <f>Raw_Data!I837</f>
        <v>5</v>
      </c>
      <c r="G837" s="13">
        <f>D837*INDEX(Multiplier_Lookup!$C$6:$C$9,MATCH(E837,Multiplier_Lookup!$B$6:$B$9,0))</f>
        <v>209548</v>
      </c>
      <c r="H837" s="2" t="str">
        <f t="shared" si="13"/>
        <v>Pfizer|Director of Product Management</v>
      </c>
    </row>
    <row r="838" spans="1:8" x14ac:dyDescent="0.35">
      <c r="A838" s="2" t="str">
        <f>Raw_Data!A838</f>
        <v>Pfizer</v>
      </c>
      <c r="B838" s="2" t="str">
        <f>Raw_Data!C838</f>
        <v>Software Development</v>
      </c>
      <c r="C838" s="2" t="str">
        <f>Raw_Data!D838</f>
        <v>Platform Engineer</v>
      </c>
      <c r="D838" s="2">
        <f>Raw_Data!F838</f>
        <v>117439</v>
      </c>
      <c r="E838" s="2" t="str">
        <f>Raw_Data!H838</f>
        <v>YEARLY</v>
      </c>
      <c r="F838" s="2">
        <f>Raw_Data!I838</f>
        <v>4</v>
      </c>
      <c r="G838" s="13">
        <f>D838*INDEX(Multiplier_Lookup!$C$6:$C$9,MATCH(E838,Multiplier_Lookup!$B$6:$B$9,0))</f>
        <v>117439</v>
      </c>
      <c r="H838" s="2" t="str">
        <f t="shared" si="13"/>
        <v>Pfizer|Platform Engineer</v>
      </c>
    </row>
    <row r="839" spans="1:8" x14ac:dyDescent="0.35">
      <c r="A839" s="2" t="str">
        <f>Raw_Data!A839</f>
        <v>Pfizer</v>
      </c>
      <c r="B839" s="2" t="str">
        <f>Raw_Data!C839</f>
        <v>Software Development</v>
      </c>
      <c r="C839" s="2" t="str">
        <f>Raw_Data!D839</f>
        <v>Site Reliability Engineer</v>
      </c>
      <c r="D839" s="2">
        <f>Raw_Data!F839</f>
        <v>130101</v>
      </c>
      <c r="E839" s="2" t="str">
        <f>Raw_Data!H839</f>
        <v>YEARLY</v>
      </c>
      <c r="F839" s="2">
        <f>Raw_Data!I839</f>
        <v>3</v>
      </c>
      <c r="G839" s="13">
        <f>D839*INDEX(Multiplier_Lookup!$C$6:$C$9,MATCH(E839,Multiplier_Lookup!$B$6:$B$9,0))</f>
        <v>130101</v>
      </c>
      <c r="H839" s="2" t="str">
        <f t="shared" si="13"/>
        <v>Pfizer|Site Reliability Engineer</v>
      </c>
    </row>
    <row r="840" spans="1:8" x14ac:dyDescent="0.35">
      <c r="A840" s="2" t="str">
        <f>Raw_Data!A840</f>
        <v>Pfizer</v>
      </c>
      <c r="B840" s="2" t="str">
        <f>Raw_Data!C840</f>
        <v>Software Development</v>
      </c>
      <c r="C840" s="2" t="str">
        <f>Raw_Data!D840</f>
        <v>Automation Engineer</v>
      </c>
      <c r="D840" s="2">
        <f>Raw_Data!F840</f>
        <v>81354</v>
      </c>
      <c r="E840" s="2" t="str">
        <f>Raw_Data!H840</f>
        <v>YEARLY</v>
      </c>
      <c r="F840" s="2">
        <f>Raw_Data!I840</f>
        <v>3</v>
      </c>
      <c r="G840" s="13">
        <f>D840*INDEX(Multiplier_Lookup!$C$6:$C$9,MATCH(E840,Multiplier_Lookup!$B$6:$B$9,0))</f>
        <v>81354</v>
      </c>
      <c r="H840" s="2" t="str">
        <f t="shared" si="13"/>
        <v>Pfizer|Automation Engineer</v>
      </c>
    </row>
    <row r="841" spans="1:8" x14ac:dyDescent="0.35">
      <c r="A841" s="2" t="str">
        <f>Raw_Data!A841</f>
        <v>Taco Bell</v>
      </c>
      <c r="B841" s="2" t="str">
        <f>Raw_Data!C841</f>
        <v>Retail</v>
      </c>
      <c r="C841" s="2" t="str">
        <f>Raw_Data!D841</f>
        <v>Cashier</v>
      </c>
      <c r="D841" s="2">
        <f>Raw_Data!F841</f>
        <v>14.39</v>
      </c>
      <c r="E841" s="2" t="str">
        <f>Raw_Data!H841</f>
        <v>HOURLY</v>
      </c>
      <c r="F841" s="2">
        <f>Raw_Data!I841</f>
        <v>4141</v>
      </c>
      <c r="G841" s="13">
        <f>D841*INDEX(Multiplier_Lookup!$C$6:$C$9,MATCH(E841,Multiplier_Lookup!$B$6:$B$9,0))</f>
        <v>29931.200000000001</v>
      </c>
      <c r="H841" s="2" t="str">
        <f t="shared" si="13"/>
        <v>Taco Bell|Cashier</v>
      </c>
    </row>
    <row r="842" spans="1:8" x14ac:dyDescent="0.35">
      <c r="A842" s="2" t="str">
        <f>Raw_Data!A842</f>
        <v>Taco Bell</v>
      </c>
      <c r="B842" s="2" t="str">
        <f>Raw_Data!C842</f>
        <v>Retail</v>
      </c>
      <c r="C842" s="2" t="str">
        <f>Raw_Data!D842</f>
        <v>Customer Service Associate / Cashier</v>
      </c>
      <c r="D842" s="2">
        <f>Raw_Data!F842</f>
        <v>12.46</v>
      </c>
      <c r="E842" s="2" t="str">
        <f>Raw_Data!H842</f>
        <v>HOURLY</v>
      </c>
      <c r="F842" s="2">
        <f>Raw_Data!I842</f>
        <v>97</v>
      </c>
      <c r="G842" s="13">
        <f>D842*INDEX(Multiplier_Lookup!$C$6:$C$9,MATCH(E842,Multiplier_Lookup!$B$6:$B$9,0))</f>
        <v>25916.800000000003</v>
      </c>
      <c r="H842" s="2" t="str">
        <f t="shared" si="13"/>
        <v>Taco Bell|Customer Service Associate / Cashier</v>
      </c>
    </row>
    <row r="843" spans="1:8" x14ac:dyDescent="0.35">
      <c r="A843" s="2" t="str">
        <f>Raw_Data!A843</f>
        <v>Taco Bell</v>
      </c>
      <c r="B843" s="2" t="str">
        <f>Raw_Data!C843</f>
        <v>Retail</v>
      </c>
      <c r="C843" s="2" t="str">
        <f>Raw_Data!D843</f>
        <v>QSR Manager</v>
      </c>
      <c r="D843" s="2">
        <f>Raw_Data!F843</f>
        <v>60122</v>
      </c>
      <c r="E843" s="2" t="str">
        <f>Raw_Data!H843</f>
        <v>YEARLY</v>
      </c>
      <c r="F843" s="2">
        <f>Raw_Data!I843</f>
        <v>5</v>
      </c>
      <c r="G843" s="13">
        <f>D843*INDEX(Multiplier_Lookup!$C$6:$C$9,MATCH(E843,Multiplier_Lookup!$B$6:$B$9,0))</f>
        <v>60122</v>
      </c>
      <c r="H843" s="2" t="str">
        <f t="shared" si="13"/>
        <v>Taco Bell|QSR Manager</v>
      </c>
    </row>
    <row r="844" spans="1:8" x14ac:dyDescent="0.35">
      <c r="A844" s="2" t="str">
        <f>Raw_Data!A844</f>
        <v>Taco Bell</v>
      </c>
      <c r="B844" s="2" t="str">
        <f>Raw_Data!C844</f>
        <v>Retail</v>
      </c>
      <c r="C844" s="2" t="str">
        <f>Raw_Data!D844</f>
        <v>Lead Cashier</v>
      </c>
      <c r="D844" s="2">
        <f>Raw_Data!F844</f>
        <v>14.21</v>
      </c>
      <c r="E844" s="2" t="str">
        <f>Raw_Data!H844</f>
        <v>HOURLY</v>
      </c>
      <c r="F844" s="2">
        <f>Raw_Data!I844</f>
        <v>6</v>
      </c>
      <c r="G844" s="13">
        <f>D844*INDEX(Multiplier_Lookup!$C$6:$C$9,MATCH(E844,Multiplier_Lookup!$B$6:$B$9,0))</f>
        <v>29556.800000000003</v>
      </c>
      <c r="H844" s="2" t="str">
        <f t="shared" si="13"/>
        <v>Taco Bell|Lead Cashier</v>
      </c>
    </row>
    <row r="845" spans="1:8" x14ac:dyDescent="0.35">
      <c r="A845" s="2" t="str">
        <f>Raw_Data!A845</f>
        <v>Taco Bell</v>
      </c>
      <c r="B845" s="2" t="str">
        <f>Raw_Data!C845</f>
        <v>Retail</v>
      </c>
      <c r="C845" s="2" t="str">
        <f>Raw_Data!D845</f>
        <v>Opener</v>
      </c>
      <c r="D845" s="2">
        <f>Raw_Data!F845</f>
        <v>15.42</v>
      </c>
      <c r="E845" s="2" t="str">
        <f>Raw_Data!H845</f>
        <v>HOURLY</v>
      </c>
      <c r="F845" s="2">
        <f>Raw_Data!I845</f>
        <v>5</v>
      </c>
      <c r="G845" s="13">
        <f>D845*INDEX(Multiplier_Lookup!$C$6:$C$9,MATCH(E845,Multiplier_Lookup!$B$6:$B$9,0))</f>
        <v>32073.599999999999</v>
      </c>
      <c r="H845" s="2" t="str">
        <f t="shared" si="13"/>
        <v>Taco Bell|Opener</v>
      </c>
    </row>
    <row r="846" spans="1:8" x14ac:dyDescent="0.35">
      <c r="A846" s="2" t="str">
        <f>Raw_Data!A846</f>
        <v>Taco Bell</v>
      </c>
      <c r="B846" s="2" t="str">
        <f>Raw_Data!C846</f>
        <v>Retail</v>
      </c>
      <c r="C846" s="2" t="str">
        <f>Raw_Data!D846</f>
        <v>Assistant Store Manager</v>
      </c>
      <c r="D846" s="2">
        <f>Raw_Data!F846</f>
        <v>16</v>
      </c>
      <c r="E846" s="2" t="str">
        <f>Raw_Data!H846</f>
        <v>HOURLY</v>
      </c>
      <c r="F846" s="2">
        <f>Raw_Data!I846</f>
        <v>16</v>
      </c>
      <c r="G846" s="13">
        <f>D846*INDEX(Multiplier_Lookup!$C$6:$C$9,MATCH(E846,Multiplier_Lookup!$B$6:$B$9,0))</f>
        <v>33280</v>
      </c>
      <c r="H846" s="2" t="str">
        <f t="shared" si="13"/>
        <v>Taco Bell|Assistant Store Manager</v>
      </c>
    </row>
    <row r="847" spans="1:8" x14ac:dyDescent="0.35">
      <c r="A847" s="2" t="str">
        <f>Raw_Data!A847</f>
        <v>Taco Bell</v>
      </c>
      <c r="B847" s="2" t="str">
        <f>Raw_Data!C847</f>
        <v>Retail</v>
      </c>
      <c r="C847" s="2" t="str">
        <f>Raw_Data!D847</f>
        <v>Member Team Lead</v>
      </c>
      <c r="D847" s="2">
        <f>Raw_Data!F847</f>
        <v>12.7</v>
      </c>
      <c r="E847" s="2" t="str">
        <f>Raw_Data!H847</f>
        <v>HOURLY</v>
      </c>
      <c r="F847" s="2">
        <f>Raw_Data!I847</f>
        <v>5</v>
      </c>
      <c r="G847" s="13">
        <f>D847*INDEX(Multiplier_Lookup!$C$6:$C$9,MATCH(E847,Multiplier_Lookup!$B$6:$B$9,0))</f>
        <v>26416</v>
      </c>
      <c r="H847" s="2" t="str">
        <f t="shared" si="13"/>
        <v>Taco Bell|Member Team Lead</v>
      </c>
    </row>
    <row r="848" spans="1:8" x14ac:dyDescent="0.35">
      <c r="A848" s="2" t="str">
        <f>Raw_Data!A848</f>
        <v>Taco Bell</v>
      </c>
      <c r="B848" s="2" t="str">
        <f>Raw_Data!C848</f>
        <v>Retail</v>
      </c>
      <c r="C848" s="2" t="str">
        <f>Raw_Data!D848</f>
        <v>Lead Team Member</v>
      </c>
      <c r="D848" s="2">
        <f>Raw_Data!F848</f>
        <v>13.17</v>
      </c>
      <c r="E848" s="2" t="str">
        <f>Raw_Data!H848</f>
        <v>HOURLY</v>
      </c>
      <c r="F848" s="2">
        <f>Raw_Data!I848</f>
        <v>6</v>
      </c>
      <c r="G848" s="13">
        <f>D848*INDEX(Multiplier_Lookup!$C$6:$C$9,MATCH(E848,Multiplier_Lookup!$B$6:$B$9,0))</f>
        <v>27393.599999999999</v>
      </c>
      <c r="H848" s="2" t="str">
        <f t="shared" si="13"/>
        <v>Taco Bell|Lead Team Member</v>
      </c>
    </row>
    <row r="849" spans="1:8" x14ac:dyDescent="0.35">
      <c r="A849" s="2" t="str">
        <f>Raw_Data!A849</f>
        <v>Taco Bell</v>
      </c>
      <c r="B849" s="2" t="str">
        <f>Raw_Data!C849</f>
        <v>Retail</v>
      </c>
      <c r="C849" s="2" t="str">
        <f>Raw_Data!D849</f>
        <v>Store Manager</v>
      </c>
      <c r="D849" s="2">
        <f>Raw_Data!F849</f>
        <v>50847</v>
      </c>
      <c r="E849" s="2" t="str">
        <f>Raw_Data!H849</f>
        <v>YEARLY</v>
      </c>
      <c r="F849" s="2">
        <f>Raw_Data!I849</f>
        <v>5</v>
      </c>
      <c r="G849" s="13">
        <f>D849*INDEX(Multiplier_Lookup!$C$6:$C$9,MATCH(E849,Multiplier_Lookup!$B$6:$B$9,0))</f>
        <v>50847</v>
      </c>
      <c r="H849" s="2" t="str">
        <f t="shared" si="13"/>
        <v>Taco Bell|Store Manager</v>
      </c>
    </row>
    <row r="850" spans="1:8" x14ac:dyDescent="0.35">
      <c r="A850" s="2" t="str">
        <f>Raw_Data!A850</f>
        <v>Taco Bell</v>
      </c>
      <c r="B850" s="2" t="str">
        <f>Raw_Data!C850</f>
        <v>Customer Service</v>
      </c>
      <c r="C850" s="2" t="str">
        <f>Raw_Data!D850</f>
        <v>Customer Service Representative</v>
      </c>
      <c r="D850" s="2">
        <f>Raw_Data!F850</f>
        <v>12.04</v>
      </c>
      <c r="E850" s="2" t="str">
        <f>Raw_Data!H850</f>
        <v>HOURLY</v>
      </c>
      <c r="F850" s="2">
        <f>Raw_Data!I850</f>
        <v>123</v>
      </c>
      <c r="G850" s="13">
        <f>D850*INDEX(Multiplier_Lookup!$C$6:$C$9,MATCH(E850,Multiplier_Lookup!$B$6:$B$9,0))</f>
        <v>25043.199999999997</v>
      </c>
      <c r="H850" s="2" t="str">
        <f t="shared" si="13"/>
        <v>Taco Bell|Customer Service Representative</v>
      </c>
    </row>
    <row r="851" spans="1:8" x14ac:dyDescent="0.35">
      <c r="A851" s="2" t="str">
        <f>Raw_Data!A851</f>
        <v>Dollar General</v>
      </c>
      <c r="B851" s="2" t="str">
        <f>Raw_Data!C851</f>
        <v>Loading and Stocking</v>
      </c>
      <c r="C851" s="2" t="str">
        <f>Raw_Data!D851</f>
        <v>Warehouse Worker</v>
      </c>
      <c r="D851" s="2">
        <f>Raw_Data!F851</f>
        <v>19.399999999999999</v>
      </c>
      <c r="E851" s="2" t="str">
        <f>Raw_Data!H851</f>
        <v>HOURLY</v>
      </c>
      <c r="F851" s="2">
        <f>Raw_Data!I851</f>
        <v>70</v>
      </c>
      <c r="G851" s="13">
        <f>D851*INDEX(Multiplier_Lookup!$C$6:$C$9,MATCH(E851,Multiplier_Lookup!$B$6:$B$9,0))</f>
        <v>40352</v>
      </c>
      <c r="H851" s="2" t="str">
        <f t="shared" si="13"/>
        <v>Dollar General|Warehouse Worker</v>
      </c>
    </row>
    <row r="852" spans="1:8" x14ac:dyDescent="0.35">
      <c r="A852" s="2" t="str">
        <f>Raw_Data!A852</f>
        <v>Dollar General</v>
      </c>
      <c r="B852" s="2" t="str">
        <f>Raw_Data!C852</f>
        <v>Loading and Stocking</v>
      </c>
      <c r="C852" s="2" t="str">
        <f>Raw_Data!D852</f>
        <v>Order Picker</v>
      </c>
      <c r="D852" s="2">
        <f>Raw_Data!F852</f>
        <v>19.440000000000001</v>
      </c>
      <c r="E852" s="2" t="str">
        <f>Raw_Data!H852</f>
        <v>HOURLY</v>
      </c>
      <c r="F852" s="2">
        <f>Raw_Data!I852</f>
        <v>20</v>
      </c>
      <c r="G852" s="13">
        <f>D852*INDEX(Multiplier_Lookup!$C$6:$C$9,MATCH(E852,Multiplier_Lookup!$B$6:$B$9,0))</f>
        <v>40435.200000000004</v>
      </c>
      <c r="H852" s="2" t="str">
        <f t="shared" si="13"/>
        <v>Dollar General|Order Picker</v>
      </c>
    </row>
    <row r="853" spans="1:8" x14ac:dyDescent="0.35">
      <c r="A853" s="2" t="str">
        <f>Raw_Data!A853</f>
        <v>Dollar General</v>
      </c>
      <c r="B853" s="2" t="str">
        <f>Raw_Data!C853</f>
        <v>Loading and Stocking</v>
      </c>
      <c r="C853" s="2" t="str">
        <f>Raw_Data!D853</f>
        <v>Warehouse Supervisor</v>
      </c>
      <c r="D853" s="2">
        <f>Raw_Data!F853</f>
        <v>28.8</v>
      </c>
      <c r="E853" s="2" t="str">
        <f>Raw_Data!H853</f>
        <v>HOURLY</v>
      </c>
      <c r="F853" s="2">
        <f>Raw_Data!I853</f>
        <v>2</v>
      </c>
      <c r="G853" s="13">
        <f>D853*INDEX(Multiplier_Lookup!$C$6:$C$9,MATCH(E853,Multiplier_Lookup!$B$6:$B$9,0))</f>
        <v>59904</v>
      </c>
      <c r="H853" s="2" t="str">
        <f t="shared" si="13"/>
        <v>Dollar General|Warehouse Supervisor</v>
      </c>
    </row>
    <row r="854" spans="1:8" x14ac:dyDescent="0.35">
      <c r="A854" s="2" t="str">
        <f>Raw_Data!A854</f>
        <v>Dollar General</v>
      </c>
      <c r="B854" s="2" t="str">
        <f>Raw_Data!C854</f>
        <v>Loading and Stocking</v>
      </c>
      <c r="C854" s="2" t="str">
        <f>Raw_Data!D854</f>
        <v>Distribution Center Supervisor</v>
      </c>
      <c r="D854" s="2">
        <f>Raw_Data!F854</f>
        <v>20.27</v>
      </c>
      <c r="E854" s="2" t="str">
        <f>Raw_Data!H854</f>
        <v>HOURLY</v>
      </c>
      <c r="F854" s="2">
        <f>Raw_Data!I854</f>
        <v>13</v>
      </c>
      <c r="G854" s="13">
        <f>D854*INDEX(Multiplier_Lookup!$C$6:$C$9,MATCH(E854,Multiplier_Lookup!$B$6:$B$9,0))</f>
        <v>42161.599999999999</v>
      </c>
      <c r="H854" s="2" t="str">
        <f t="shared" si="13"/>
        <v>Dollar General|Distribution Center Supervisor</v>
      </c>
    </row>
    <row r="855" spans="1:8" x14ac:dyDescent="0.35">
      <c r="A855" s="2" t="str">
        <f>Raw_Data!A855</f>
        <v>Dollar General</v>
      </c>
      <c r="B855" s="2" t="str">
        <f>Raw_Data!C855</f>
        <v>Loading and Stocking</v>
      </c>
      <c r="C855" s="2" t="str">
        <f>Raw_Data!D855</f>
        <v>Warehouse Supervisor II</v>
      </c>
      <c r="D855" s="2">
        <f>Raw_Data!F855</f>
        <v>71894</v>
      </c>
      <c r="E855" s="2" t="str">
        <f>Raw_Data!H855</f>
        <v>YEARLY</v>
      </c>
      <c r="F855" s="2">
        <f>Raw_Data!I855</f>
        <v>11</v>
      </c>
      <c r="G855" s="13">
        <f>D855*INDEX(Multiplier_Lookup!$C$6:$C$9,MATCH(E855,Multiplier_Lookup!$B$6:$B$9,0))</f>
        <v>71894</v>
      </c>
      <c r="H855" s="2" t="str">
        <f t="shared" si="13"/>
        <v>Dollar General|Warehouse Supervisor II</v>
      </c>
    </row>
    <row r="856" spans="1:8" x14ac:dyDescent="0.35">
      <c r="A856" s="2" t="str">
        <f>Raw_Data!A856</f>
        <v>Dollar General</v>
      </c>
      <c r="B856" s="2" t="str">
        <f>Raw_Data!C856</f>
        <v>Loading and Stocking</v>
      </c>
      <c r="C856" s="2" t="str">
        <f>Raw_Data!D856</f>
        <v>Order Filler</v>
      </c>
      <c r="D856" s="2">
        <f>Raw_Data!F856</f>
        <v>21.43</v>
      </c>
      <c r="E856" s="2" t="str">
        <f>Raw_Data!H856</f>
        <v>HOURLY</v>
      </c>
      <c r="F856" s="2">
        <f>Raw_Data!I856</f>
        <v>6</v>
      </c>
      <c r="G856" s="13">
        <f>D856*INDEX(Multiplier_Lookup!$C$6:$C$9,MATCH(E856,Multiplier_Lookup!$B$6:$B$9,0))</f>
        <v>44574.400000000001</v>
      </c>
      <c r="H856" s="2" t="str">
        <f t="shared" si="13"/>
        <v>Dollar General|Order Filler</v>
      </c>
    </row>
    <row r="857" spans="1:8" x14ac:dyDescent="0.35">
      <c r="A857" s="2" t="str">
        <f>Raw_Data!A857</f>
        <v>Dollar General</v>
      </c>
      <c r="B857" s="2" t="str">
        <f>Raw_Data!C857</f>
        <v>Loading and Stocking</v>
      </c>
      <c r="C857" s="2" t="str">
        <f>Raw_Data!D857</f>
        <v>Stocker</v>
      </c>
      <c r="D857" s="2">
        <f>Raw_Data!F857</f>
        <v>15.28</v>
      </c>
      <c r="E857" s="2" t="str">
        <f>Raw_Data!H857</f>
        <v>HOURLY</v>
      </c>
      <c r="F857" s="2">
        <f>Raw_Data!I857</f>
        <v>8</v>
      </c>
      <c r="G857" s="13">
        <f>D857*INDEX(Multiplier_Lookup!$C$6:$C$9,MATCH(E857,Multiplier_Lookup!$B$6:$B$9,0))</f>
        <v>31782.399999999998</v>
      </c>
      <c r="H857" s="2" t="str">
        <f t="shared" si="13"/>
        <v>Dollar General|Stocker</v>
      </c>
    </row>
    <row r="858" spans="1:8" x14ac:dyDescent="0.35">
      <c r="A858" s="2" t="str">
        <f>Raw_Data!A858</f>
        <v>Dollar General</v>
      </c>
      <c r="B858" s="2" t="str">
        <f>Raw_Data!C858</f>
        <v>Loading and Stocking</v>
      </c>
      <c r="C858" s="2" t="str">
        <f>Raw_Data!D858</f>
        <v>Forklift Operator</v>
      </c>
      <c r="D858" s="2">
        <f>Raw_Data!F858</f>
        <v>18.170000000000002</v>
      </c>
      <c r="E858" s="2" t="str">
        <f>Raw_Data!H858</f>
        <v>HOURLY</v>
      </c>
      <c r="F858" s="2">
        <f>Raw_Data!I858</f>
        <v>6</v>
      </c>
      <c r="G858" s="13">
        <f>D858*INDEX(Multiplier_Lookup!$C$6:$C$9,MATCH(E858,Multiplier_Lookup!$B$6:$B$9,0))</f>
        <v>37793.600000000006</v>
      </c>
      <c r="H858" s="2" t="str">
        <f t="shared" si="13"/>
        <v>Dollar General|Forklift Operator</v>
      </c>
    </row>
    <row r="859" spans="1:8" x14ac:dyDescent="0.35">
      <c r="A859" s="2" t="str">
        <f>Raw_Data!A859</f>
        <v>Dollar General</v>
      </c>
      <c r="B859" s="2" t="str">
        <f>Raw_Data!C859</f>
        <v>Loading and Stocking</v>
      </c>
      <c r="C859" s="2" t="str">
        <f>Raw_Data!D859</f>
        <v>Distribution Center Operations Manager</v>
      </c>
      <c r="D859" s="2">
        <f>Raw_Data!F859</f>
        <v>82641</v>
      </c>
      <c r="E859" s="2" t="str">
        <f>Raw_Data!H859</f>
        <v>YEARLY</v>
      </c>
      <c r="F859" s="2">
        <f>Raw_Data!I859</f>
        <v>9</v>
      </c>
      <c r="G859" s="13">
        <f>D859*INDEX(Multiplier_Lookup!$C$6:$C$9,MATCH(E859,Multiplier_Lookup!$B$6:$B$9,0))</f>
        <v>82641</v>
      </c>
      <c r="H859" s="2" t="str">
        <f t="shared" si="13"/>
        <v>Dollar General|Distribution Center Operations Manager</v>
      </c>
    </row>
    <row r="860" spans="1:8" x14ac:dyDescent="0.35">
      <c r="A860" s="2" t="str">
        <f>Raw_Data!A860</f>
        <v>Dollar General</v>
      </c>
      <c r="B860" s="2" t="str">
        <f>Raw_Data!C860</f>
        <v>Loading and Stocking</v>
      </c>
      <c r="C860" s="2" t="str">
        <f>Raw_Data!D860</f>
        <v>Distribution Center Manager</v>
      </c>
      <c r="D860" s="2">
        <f>Raw_Data!F860</f>
        <v>96172</v>
      </c>
      <c r="E860" s="2" t="str">
        <f>Raw_Data!H860</f>
        <v>YEARLY</v>
      </c>
      <c r="F860" s="2">
        <f>Raw_Data!I860</f>
        <v>8</v>
      </c>
      <c r="G860" s="13">
        <f>D860*INDEX(Multiplier_Lookup!$C$6:$C$9,MATCH(E860,Multiplier_Lookup!$B$6:$B$9,0))</f>
        <v>96172</v>
      </c>
      <c r="H860" s="2" t="str">
        <f t="shared" si="13"/>
        <v>Dollar General|Distribution Center Manager</v>
      </c>
    </row>
    <row r="861" spans="1:8" x14ac:dyDescent="0.35">
      <c r="A861" s="2" t="str">
        <f>Raw_Data!A861</f>
        <v>ALDI</v>
      </c>
      <c r="B861" s="2" t="str">
        <f>Raw_Data!C861</f>
        <v>Management</v>
      </c>
      <c r="C861" s="2" t="str">
        <f>Raw_Data!D861</f>
        <v>District Manager</v>
      </c>
      <c r="D861" s="2">
        <f>Raw_Data!F861</f>
        <v>27.95</v>
      </c>
      <c r="E861" s="2" t="str">
        <f>Raw_Data!H861</f>
        <v>HOURLY</v>
      </c>
      <c r="F861" s="2">
        <f>Raw_Data!I861</f>
        <v>61</v>
      </c>
      <c r="G861" s="13">
        <f>D861*INDEX(Multiplier_Lookup!$C$6:$C$9,MATCH(E861,Multiplier_Lookup!$B$6:$B$9,0))</f>
        <v>58136</v>
      </c>
      <c r="H861" s="2" t="str">
        <f t="shared" si="13"/>
        <v>ALDI|District Manager</v>
      </c>
    </row>
    <row r="862" spans="1:8" x14ac:dyDescent="0.35">
      <c r="A862" s="2" t="str">
        <f>Raw_Data!A862</f>
        <v>ALDI</v>
      </c>
      <c r="B862" s="2" t="str">
        <f>Raw_Data!C862</f>
        <v>Management</v>
      </c>
      <c r="C862" s="2" t="str">
        <f>Raw_Data!D862</f>
        <v>Management Trainee</v>
      </c>
      <c r="D862" s="2">
        <f>Raw_Data!F862</f>
        <v>31.62</v>
      </c>
      <c r="E862" s="2" t="str">
        <f>Raw_Data!H862</f>
        <v>HOURLY</v>
      </c>
      <c r="F862" s="2">
        <f>Raw_Data!I862</f>
        <v>273</v>
      </c>
      <c r="G862" s="13">
        <f>D862*INDEX(Multiplier_Lookup!$C$6:$C$9,MATCH(E862,Multiplier_Lookup!$B$6:$B$9,0))</f>
        <v>65769.600000000006</v>
      </c>
      <c r="H862" s="2" t="str">
        <f t="shared" si="13"/>
        <v>ALDI|Management Trainee</v>
      </c>
    </row>
    <row r="863" spans="1:8" x14ac:dyDescent="0.35">
      <c r="A863" s="2" t="str">
        <f>Raw_Data!A863</f>
        <v>ALDI</v>
      </c>
      <c r="B863" s="2" t="str">
        <f>Raw_Data!C863</f>
        <v>Management</v>
      </c>
      <c r="C863" s="2" t="str">
        <f>Raw_Data!D863</f>
        <v>Shift Manager</v>
      </c>
      <c r="D863" s="2">
        <f>Raw_Data!F863</f>
        <v>35.01</v>
      </c>
      <c r="E863" s="2" t="str">
        <f>Raw_Data!H863</f>
        <v>HOURLY</v>
      </c>
      <c r="F863" s="2">
        <f>Raw_Data!I863</f>
        <v>9</v>
      </c>
      <c r="G863" s="13">
        <f>D863*INDEX(Multiplier_Lookup!$C$6:$C$9,MATCH(E863,Multiplier_Lookup!$B$6:$B$9,0))</f>
        <v>72820.800000000003</v>
      </c>
      <c r="H863" s="2" t="str">
        <f t="shared" si="13"/>
        <v>ALDI|Shift Manager</v>
      </c>
    </row>
    <row r="864" spans="1:8" x14ac:dyDescent="0.35">
      <c r="A864" s="2" t="str">
        <f>Raw_Data!A864</f>
        <v>ALDI</v>
      </c>
      <c r="B864" s="2" t="str">
        <f>Raw_Data!C864</f>
        <v>Management</v>
      </c>
      <c r="C864" s="2" t="str">
        <f>Raw_Data!D864</f>
        <v>Shift Leader</v>
      </c>
      <c r="D864" s="2">
        <f>Raw_Data!F864</f>
        <v>28.52</v>
      </c>
      <c r="E864" s="2" t="str">
        <f>Raw_Data!H864</f>
        <v>HOURLY</v>
      </c>
      <c r="F864" s="2">
        <f>Raw_Data!I864</f>
        <v>35</v>
      </c>
      <c r="G864" s="13">
        <f>D864*INDEX(Multiplier_Lookup!$C$6:$C$9,MATCH(E864,Multiplier_Lookup!$B$6:$B$9,0))</f>
        <v>59321.599999999999</v>
      </c>
      <c r="H864" s="2" t="str">
        <f t="shared" si="13"/>
        <v>ALDI|Shift Leader</v>
      </c>
    </row>
    <row r="865" spans="1:8" x14ac:dyDescent="0.35">
      <c r="A865" s="2" t="str">
        <f>Raw_Data!A865</f>
        <v>ALDI</v>
      </c>
      <c r="B865" s="2" t="str">
        <f>Raw_Data!C865</f>
        <v>Management</v>
      </c>
      <c r="C865" s="2" t="str">
        <f>Raw_Data!D865</f>
        <v>Assistant Manager</v>
      </c>
      <c r="D865" s="2">
        <f>Raw_Data!F865</f>
        <v>24.79</v>
      </c>
      <c r="E865" s="2" t="str">
        <f>Raw_Data!H865</f>
        <v>HOURLY</v>
      </c>
      <c r="F865" s="2">
        <f>Raw_Data!I865</f>
        <v>16</v>
      </c>
      <c r="G865" s="13">
        <f>D865*INDEX(Multiplier_Lookup!$C$6:$C$9,MATCH(E865,Multiplier_Lookup!$B$6:$B$9,0))</f>
        <v>51563.199999999997</v>
      </c>
      <c r="H865" s="2" t="str">
        <f t="shared" si="13"/>
        <v>ALDI|Assistant Manager</v>
      </c>
    </row>
    <row r="866" spans="1:8" x14ac:dyDescent="0.35">
      <c r="A866" s="2" t="str">
        <f>Raw_Data!A866</f>
        <v>ALDI</v>
      </c>
      <c r="B866" s="2" t="str">
        <f>Raw_Data!C866</f>
        <v>Management</v>
      </c>
      <c r="C866" s="2" t="str">
        <f>Raw_Data!D866</f>
        <v>Facilities Manager</v>
      </c>
      <c r="D866" s="2">
        <f>Raw_Data!F866</f>
        <v>109050</v>
      </c>
      <c r="E866" s="2" t="str">
        <f>Raw_Data!H866</f>
        <v>YEARLY</v>
      </c>
      <c r="F866" s="2">
        <f>Raw_Data!I866</f>
        <v>10</v>
      </c>
      <c r="G866" s="13">
        <f>D866*INDEX(Multiplier_Lookup!$C$6:$C$9,MATCH(E866,Multiplier_Lookup!$B$6:$B$9,0))</f>
        <v>109050</v>
      </c>
      <c r="H866" s="2" t="str">
        <f t="shared" si="13"/>
        <v>ALDI|Facilities Manager</v>
      </c>
    </row>
    <row r="867" spans="1:8" x14ac:dyDescent="0.35">
      <c r="A867" s="2" t="str">
        <f>Raw_Data!A867</f>
        <v>ALDI</v>
      </c>
      <c r="B867" s="2" t="str">
        <f>Raw_Data!C867</f>
        <v>Management</v>
      </c>
      <c r="C867" s="2" t="str">
        <f>Raw_Data!D867</f>
        <v>Director</v>
      </c>
      <c r="D867" s="2">
        <f>Raw_Data!F867</f>
        <v>228609</v>
      </c>
      <c r="E867" s="2" t="str">
        <f>Raw_Data!H867</f>
        <v>YEARLY</v>
      </c>
      <c r="F867" s="2">
        <f>Raw_Data!I867</f>
        <v>7</v>
      </c>
      <c r="G867" s="13">
        <f>D867*INDEX(Multiplier_Lookup!$C$6:$C$9,MATCH(E867,Multiplier_Lookup!$B$6:$B$9,0))</f>
        <v>228609</v>
      </c>
      <c r="H867" s="2" t="str">
        <f t="shared" si="13"/>
        <v>ALDI|Director</v>
      </c>
    </row>
    <row r="868" spans="1:8" x14ac:dyDescent="0.35">
      <c r="A868" s="2" t="str">
        <f>Raw_Data!A868</f>
        <v>ALDI</v>
      </c>
      <c r="B868" s="2" t="str">
        <f>Raw_Data!C868</f>
        <v>Management</v>
      </c>
      <c r="C868" s="2" t="str">
        <f>Raw_Data!D868</f>
        <v>Manager</v>
      </c>
      <c r="D868" s="2">
        <f>Raw_Data!F868</f>
        <v>122871</v>
      </c>
      <c r="E868" s="2" t="str">
        <f>Raw_Data!H868</f>
        <v>YEARLY</v>
      </c>
      <c r="F868" s="2">
        <f>Raw_Data!I868</f>
        <v>6</v>
      </c>
      <c r="G868" s="13">
        <f>D868*INDEX(Multiplier_Lookup!$C$6:$C$9,MATCH(E868,Multiplier_Lookup!$B$6:$B$9,0))</f>
        <v>122871</v>
      </c>
      <c r="H868" s="2" t="str">
        <f t="shared" si="13"/>
        <v>ALDI|Manager</v>
      </c>
    </row>
    <row r="869" spans="1:8" x14ac:dyDescent="0.35">
      <c r="A869" s="2" t="str">
        <f>Raw_Data!A869</f>
        <v>ALDI</v>
      </c>
      <c r="B869" s="2" t="str">
        <f>Raw_Data!C869</f>
        <v>Management</v>
      </c>
      <c r="C869" s="2" t="str">
        <f>Raw_Data!D869</f>
        <v>Quality Assurance Coordinator</v>
      </c>
      <c r="D869" s="2">
        <f>Raw_Data!F869</f>
        <v>28.21</v>
      </c>
      <c r="E869" s="2" t="str">
        <f>Raw_Data!H869</f>
        <v>HOURLY</v>
      </c>
      <c r="F869" s="2">
        <f>Raw_Data!I869</f>
        <v>4</v>
      </c>
      <c r="G869" s="13">
        <f>D869*INDEX(Multiplier_Lookup!$C$6:$C$9,MATCH(E869,Multiplier_Lookup!$B$6:$B$9,0))</f>
        <v>58676.800000000003</v>
      </c>
      <c r="H869" s="2" t="str">
        <f t="shared" si="13"/>
        <v>ALDI|Quality Assurance Coordinator</v>
      </c>
    </row>
    <row r="870" spans="1:8" x14ac:dyDescent="0.35">
      <c r="A870" s="2" t="str">
        <f>Raw_Data!A870</f>
        <v>ALDI</v>
      </c>
      <c r="B870" s="2" t="str">
        <f>Raw_Data!C870</f>
        <v>Management</v>
      </c>
      <c r="C870" s="2" t="str">
        <f>Raw_Data!D870</f>
        <v>Buying Manager</v>
      </c>
      <c r="D870" s="2">
        <f>Raw_Data!F870</f>
        <v>150747</v>
      </c>
      <c r="E870" s="2" t="str">
        <f>Raw_Data!H870</f>
        <v>YEARLY</v>
      </c>
      <c r="F870" s="2">
        <f>Raw_Data!I870</f>
        <v>4</v>
      </c>
      <c r="G870" s="13">
        <f>D870*INDEX(Multiplier_Lookup!$C$6:$C$9,MATCH(E870,Multiplier_Lookup!$B$6:$B$9,0))</f>
        <v>150747</v>
      </c>
      <c r="H870" s="2" t="str">
        <f t="shared" si="13"/>
        <v>ALDI|Buying Manager</v>
      </c>
    </row>
    <row r="871" spans="1:8" x14ac:dyDescent="0.35">
      <c r="A871" s="2" t="str">
        <f>Raw_Data!A871</f>
        <v>Safeway</v>
      </c>
      <c r="B871" s="2" t="str">
        <f>Raw_Data!C871</f>
        <v>Pharmacy</v>
      </c>
      <c r="C871" s="2" t="str">
        <f>Raw_Data!D871</f>
        <v>Pharmacy Technician</v>
      </c>
      <c r="D871" s="2">
        <f>Raw_Data!F871</f>
        <v>20.09</v>
      </c>
      <c r="E871" s="2" t="str">
        <f>Raw_Data!H871</f>
        <v>HOURLY</v>
      </c>
      <c r="F871" s="2">
        <f>Raw_Data!I871</f>
        <v>90</v>
      </c>
      <c r="G871" s="13">
        <f>D871*INDEX(Multiplier_Lookup!$C$6:$C$9,MATCH(E871,Multiplier_Lookup!$B$6:$B$9,0))</f>
        <v>41787.199999999997</v>
      </c>
      <c r="H871" s="2" t="str">
        <f t="shared" si="13"/>
        <v>Safeway|Pharmacy Technician</v>
      </c>
    </row>
    <row r="872" spans="1:8" x14ac:dyDescent="0.35">
      <c r="A872" s="2" t="str">
        <f>Raw_Data!A872</f>
        <v>Safeway</v>
      </c>
      <c r="B872" s="2" t="str">
        <f>Raw_Data!C872</f>
        <v>Pharmacy</v>
      </c>
      <c r="C872" s="2" t="str">
        <f>Raw_Data!D872</f>
        <v>Certified Pharmacy Technician</v>
      </c>
      <c r="D872" s="2">
        <f>Raw_Data!F872</f>
        <v>22.29</v>
      </c>
      <c r="E872" s="2" t="str">
        <f>Raw_Data!H872</f>
        <v>HOURLY</v>
      </c>
      <c r="F872" s="2">
        <f>Raw_Data!I872</f>
        <v>7</v>
      </c>
      <c r="G872" s="13">
        <f>D872*INDEX(Multiplier_Lookup!$C$6:$C$9,MATCH(E872,Multiplier_Lookup!$B$6:$B$9,0))</f>
        <v>46363.199999999997</v>
      </c>
      <c r="H872" s="2" t="str">
        <f t="shared" si="13"/>
        <v>Safeway|Certified Pharmacy Technician</v>
      </c>
    </row>
    <row r="873" spans="1:8" x14ac:dyDescent="0.35">
      <c r="A873" s="2" t="str">
        <f>Raw_Data!A873</f>
        <v>Safeway</v>
      </c>
      <c r="B873" s="2" t="str">
        <f>Raw_Data!C873</f>
        <v>Pharmacy</v>
      </c>
      <c r="C873" s="2" t="str">
        <f>Raw_Data!D873</f>
        <v>Pharmacy Assistant</v>
      </c>
      <c r="D873" s="2">
        <f>Raw_Data!F873</f>
        <v>19.72</v>
      </c>
      <c r="E873" s="2" t="str">
        <f>Raw_Data!H873</f>
        <v>HOURLY</v>
      </c>
      <c r="F873" s="2">
        <f>Raw_Data!I873</f>
        <v>18</v>
      </c>
      <c r="G873" s="13">
        <f>D873*INDEX(Multiplier_Lookup!$C$6:$C$9,MATCH(E873,Multiplier_Lookup!$B$6:$B$9,0))</f>
        <v>41017.599999999999</v>
      </c>
      <c r="H873" s="2" t="str">
        <f t="shared" si="13"/>
        <v>Safeway|Pharmacy Assistant</v>
      </c>
    </row>
    <row r="874" spans="1:8" x14ac:dyDescent="0.35">
      <c r="A874" s="2" t="str">
        <f>Raw_Data!A874</f>
        <v>Safeway</v>
      </c>
      <c r="B874" s="2" t="str">
        <f>Raw_Data!C874</f>
        <v>Pharmacy</v>
      </c>
      <c r="C874" s="2" t="str">
        <f>Raw_Data!D874</f>
        <v>Staff Pharmacist</v>
      </c>
      <c r="D874" s="2">
        <f>Raw_Data!F874</f>
        <v>68</v>
      </c>
      <c r="E874" s="2" t="str">
        <f>Raw_Data!H874</f>
        <v>HOURLY</v>
      </c>
      <c r="F874" s="2">
        <f>Raw_Data!I874</f>
        <v>9</v>
      </c>
      <c r="G874" s="13">
        <f>D874*INDEX(Multiplier_Lookup!$C$6:$C$9,MATCH(E874,Multiplier_Lookup!$B$6:$B$9,0))</f>
        <v>141440</v>
      </c>
      <c r="H874" s="2" t="str">
        <f t="shared" si="13"/>
        <v>Safeway|Staff Pharmacist</v>
      </c>
    </row>
    <row r="875" spans="1:8" x14ac:dyDescent="0.35">
      <c r="A875" s="2" t="str">
        <f>Raw_Data!A875</f>
        <v>Safeway</v>
      </c>
      <c r="B875" s="2" t="str">
        <f>Raw_Data!C875</f>
        <v>Pharmacy</v>
      </c>
      <c r="C875" s="2" t="str">
        <f>Raw_Data!D875</f>
        <v>Pharmacy Clerk</v>
      </c>
      <c r="D875" s="2">
        <f>Raw_Data!F875</f>
        <v>21.02</v>
      </c>
      <c r="E875" s="2" t="str">
        <f>Raw_Data!H875</f>
        <v>HOURLY</v>
      </c>
      <c r="F875" s="2">
        <f>Raw_Data!I875</f>
        <v>46</v>
      </c>
      <c r="G875" s="13">
        <f>D875*INDEX(Multiplier_Lookup!$C$6:$C$9,MATCH(E875,Multiplier_Lookup!$B$6:$B$9,0))</f>
        <v>43721.599999999999</v>
      </c>
      <c r="H875" s="2" t="str">
        <f t="shared" si="13"/>
        <v>Safeway|Pharmacy Clerk</v>
      </c>
    </row>
    <row r="876" spans="1:8" x14ac:dyDescent="0.35">
      <c r="A876" s="2" t="str">
        <f>Raw_Data!A876</f>
        <v>Safeway</v>
      </c>
      <c r="B876" s="2" t="str">
        <f>Raw_Data!C876</f>
        <v>Pharmacy</v>
      </c>
      <c r="C876" s="2" t="str">
        <f>Raw_Data!D876</f>
        <v>Pharmacist</v>
      </c>
      <c r="D876" s="2">
        <f>Raw_Data!F876</f>
        <v>67.209999999999994</v>
      </c>
      <c r="E876" s="2" t="str">
        <f>Raw_Data!H876</f>
        <v>HOURLY</v>
      </c>
      <c r="F876" s="2">
        <f>Raw_Data!I876</f>
        <v>6</v>
      </c>
      <c r="G876" s="13">
        <f>D876*INDEX(Multiplier_Lookup!$C$6:$C$9,MATCH(E876,Multiplier_Lookup!$B$6:$B$9,0))</f>
        <v>139796.79999999999</v>
      </c>
      <c r="H876" s="2" t="str">
        <f t="shared" si="13"/>
        <v>Safeway|Pharmacist</v>
      </c>
    </row>
    <row r="877" spans="1:8" x14ac:dyDescent="0.35">
      <c r="A877" s="2" t="str">
        <f>Raw_Data!A877</f>
        <v>Safeway</v>
      </c>
      <c r="B877" s="2" t="str">
        <f>Raw_Data!C877</f>
        <v>Pharmacy</v>
      </c>
      <c r="C877" s="2" t="str">
        <f>Raw_Data!D877</f>
        <v>Pharmacy Manager</v>
      </c>
      <c r="D877" s="2">
        <f>Raw_Data!F877</f>
        <v>71.84</v>
      </c>
      <c r="E877" s="2" t="str">
        <f>Raw_Data!H877</f>
        <v>HOURLY</v>
      </c>
      <c r="F877" s="2">
        <f>Raw_Data!I877</f>
        <v>9</v>
      </c>
      <c r="G877" s="13">
        <f>D877*INDEX(Multiplier_Lookup!$C$6:$C$9,MATCH(E877,Multiplier_Lookup!$B$6:$B$9,0))</f>
        <v>149427.20000000001</v>
      </c>
      <c r="H877" s="2" t="str">
        <f t="shared" si="13"/>
        <v>Safeway|Pharmacy Manager</v>
      </c>
    </row>
    <row r="878" spans="1:8" x14ac:dyDescent="0.35">
      <c r="A878" s="2" t="str">
        <f>Raw_Data!A878</f>
        <v>Safeway</v>
      </c>
      <c r="B878" s="2" t="str">
        <f>Raw_Data!C878</f>
        <v>Pharmacy</v>
      </c>
      <c r="C878" s="2" t="str">
        <f>Raw_Data!D878</f>
        <v>Pharmacy Intern</v>
      </c>
      <c r="D878" s="2">
        <f>Raw_Data!F878</f>
        <v>19.52</v>
      </c>
      <c r="E878" s="2" t="str">
        <f>Raw_Data!H878</f>
        <v>HOURLY</v>
      </c>
      <c r="F878" s="2">
        <f>Raw_Data!I878</f>
        <v>10</v>
      </c>
      <c r="G878" s="13">
        <f>D878*INDEX(Multiplier_Lookup!$C$6:$C$9,MATCH(E878,Multiplier_Lookup!$B$6:$B$9,0))</f>
        <v>40601.599999999999</v>
      </c>
      <c r="H878" s="2" t="str">
        <f t="shared" si="13"/>
        <v>Safeway|Pharmacy Intern</v>
      </c>
    </row>
    <row r="879" spans="1:8" x14ac:dyDescent="0.35">
      <c r="A879" s="2" t="str">
        <f>Raw_Data!A879</f>
        <v>Safeway</v>
      </c>
      <c r="B879" s="2" t="str">
        <f>Raw_Data!C879</f>
        <v>Pharmacy</v>
      </c>
      <c r="C879" s="2" t="str">
        <f>Raw_Data!D879</f>
        <v>Senior Certified Pharmacy Technician</v>
      </c>
      <c r="D879" s="2">
        <f>Raw_Data!F879</f>
        <v>18.72</v>
      </c>
      <c r="E879" s="2" t="str">
        <f>Raw_Data!H879</f>
        <v>HOURLY</v>
      </c>
      <c r="F879" s="2">
        <f>Raw_Data!I879</f>
        <v>2</v>
      </c>
      <c r="G879" s="13">
        <f>D879*INDEX(Multiplier_Lookup!$C$6:$C$9,MATCH(E879,Multiplier_Lookup!$B$6:$B$9,0))</f>
        <v>38937.599999999999</v>
      </c>
      <c r="H879" s="2" t="str">
        <f t="shared" si="13"/>
        <v>Safeway|Senior Certified Pharmacy Technician</v>
      </c>
    </row>
    <row r="880" spans="1:8" x14ac:dyDescent="0.35">
      <c r="A880" s="2" t="str">
        <f>Raw_Data!A880</f>
        <v>Safeway</v>
      </c>
      <c r="B880" s="2" t="str">
        <f>Raw_Data!C880</f>
        <v>Pharmacy</v>
      </c>
      <c r="C880" s="2" t="str">
        <f>Raw_Data!D880</f>
        <v>Pharmacy Technician II</v>
      </c>
      <c r="D880" s="2">
        <f>Raw_Data!F880</f>
        <v>18.07</v>
      </c>
      <c r="E880" s="2" t="str">
        <f>Raw_Data!H880</f>
        <v>HOURLY</v>
      </c>
      <c r="F880" s="2">
        <f>Raw_Data!I880</f>
        <v>1</v>
      </c>
      <c r="G880" s="13">
        <f>D880*INDEX(Multiplier_Lookup!$C$6:$C$9,MATCH(E880,Multiplier_Lookup!$B$6:$B$9,0))</f>
        <v>37585.599999999999</v>
      </c>
      <c r="H880" s="2" t="str">
        <f t="shared" si="13"/>
        <v>Safeway|Pharmacy Technician II</v>
      </c>
    </row>
    <row r="881" spans="1:8" x14ac:dyDescent="0.35">
      <c r="A881" s="2" t="str">
        <f>Raw_Data!A881</f>
        <v>Albertsons</v>
      </c>
      <c r="B881" s="2" t="str">
        <f>Raw_Data!C881</f>
        <v>Pharmacy</v>
      </c>
      <c r="C881" s="2" t="str">
        <f>Raw_Data!D881</f>
        <v>Pharmacy Technician</v>
      </c>
      <c r="D881" s="2">
        <f>Raw_Data!F881</f>
        <v>19.22</v>
      </c>
      <c r="E881" s="2" t="str">
        <f>Raw_Data!H881</f>
        <v>HOURLY</v>
      </c>
      <c r="F881" s="2">
        <f>Raw_Data!I881</f>
        <v>276</v>
      </c>
      <c r="G881" s="13">
        <f>D881*INDEX(Multiplier_Lookup!$C$6:$C$9,MATCH(E881,Multiplier_Lookup!$B$6:$B$9,0))</f>
        <v>39977.599999999999</v>
      </c>
      <c r="H881" s="2" t="str">
        <f t="shared" si="13"/>
        <v>Albertsons|Pharmacy Technician</v>
      </c>
    </row>
    <row r="882" spans="1:8" x14ac:dyDescent="0.35">
      <c r="A882" s="2" t="str">
        <f>Raw_Data!A882</f>
        <v>Albertsons</v>
      </c>
      <c r="B882" s="2" t="str">
        <f>Raw_Data!C882</f>
        <v>Pharmacy</v>
      </c>
      <c r="C882" s="2" t="str">
        <f>Raw_Data!D882</f>
        <v>Certified Pharmacy Technician</v>
      </c>
      <c r="D882" s="2">
        <f>Raw_Data!F882</f>
        <v>17.57</v>
      </c>
      <c r="E882" s="2" t="str">
        <f>Raw_Data!H882</f>
        <v>HOURLY</v>
      </c>
      <c r="F882" s="2">
        <f>Raw_Data!I882</f>
        <v>11</v>
      </c>
      <c r="G882" s="13">
        <f>D882*INDEX(Multiplier_Lookup!$C$6:$C$9,MATCH(E882,Multiplier_Lookup!$B$6:$B$9,0))</f>
        <v>36545.599999999999</v>
      </c>
      <c r="H882" s="2" t="str">
        <f t="shared" si="13"/>
        <v>Albertsons|Certified Pharmacy Technician</v>
      </c>
    </row>
    <row r="883" spans="1:8" x14ac:dyDescent="0.35">
      <c r="A883" s="2" t="str">
        <f>Raw_Data!A883</f>
        <v>Albertsons</v>
      </c>
      <c r="B883" s="2" t="str">
        <f>Raw_Data!C883</f>
        <v>Pharmacy</v>
      </c>
      <c r="C883" s="2" t="str">
        <f>Raw_Data!D883</f>
        <v>Pharmacy Clerk</v>
      </c>
      <c r="D883" s="2">
        <f>Raw_Data!F883</f>
        <v>19.52</v>
      </c>
      <c r="E883" s="2" t="str">
        <f>Raw_Data!H883</f>
        <v>HOURLY</v>
      </c>
      <c r="F883" s="2">
        <f>Raw_Data!I883</f>
        <v>10</v>
      </c>
      <c r="G883" s="13">
        <f>D883*INDEX(Multiplier_Lookup!$C$6:$C$9,MATCH(E883,Multiplier_Lookup!$B$6:$B$9,0))</f>
        <v>40601.599999999999</v>
      </c>
      <c r="H883" s="2" t="str">
        <f t="shared" si="13"/>
        <v>Albertsons|Pharmacy Clerk</v>
      </c>
    </row>
    <row r="884" spans="1:8" x14ac:dyDescent="0.35">
      <c r="A884" s="2" t="str">
        <f>Raw_Data!A884</f>
        <v>Albertsons</v>
      </c>
      <c r="B884" s="2" t="str">
        <f>Raw_Data!C884</f>
        <v>Pharmacy</v>
      </c>
      <c r="C884" s="2" t="str">
        <f>Raw_Data!D884</f>
        <v>Staff Pharmacist</v>
      </c>
      <c r="D884" s="2">
        <f>Raw_Data!F884</f>
        <v>67.09</v>
      </c>
      <c r="E884" s="2" t="str">
        <f>Raw_Data!H884</f>
        <v>HOURLY</v>
      </c>
      <c r="F884" s="2">
        <f>Raw_Data!I884</f>
        <v>5</v>
      </c>
      <c r="G884" s="13">
        <f>D884*INDEX(Multiplier_Lookup!$C$6:$C$9,MATCH(E884,Multiplier_Lookup!$B$6:$B$9,0))</f>
        <v>139547.20000000001</v>
      </c>
      <c r="H884" s="2" t="str">
        <f t="shared" si="13"/>
        <v>Albertsons|Staff Pharmacist</v>
      </c>
    </row>
    <row r="885" spans="1:8" x14ac:dyDescent="0.35">
      <c r="A885" s="2" t="str">
        <f>Raw_Data!A885</f>
        <v>Albertsons</v>
      </c>
      <c r="B885" s="2" t="str">
        <f>Raw_Data!C885</f>
        <v>Pharmacy</v>
      </c>
      <c r="C885" s="2" t="str">
        <f>Raw_Data!D885</f>
        <v>Pharmacy Manager</v>
      </c>
      <c r="D885" s="2">
        <f>Raw_Data!F885</f>
        <v>74.39</v>
      </c>
      <c r="E885" s="2" t="str">
        <f>Raw_Data!H885</f>
        <v>HOURLY</v>
      </c>
      <c r="F885" s="2">
        <f>Raw_Data!I885</f>
        <v>6</v>
      </c>
      <c r="G885" s="13">
        <f>D885*INDEX(Multiplier_Lookup!$C$6:$C$9,MATCH(E885,Multiplier_Lookup!$B$6:$B$9,0))</f>
        <v>154731.20000000001</v>
      </c>
      <c r="H885" s="2" t="str">
        <f t="shared" si="13"/>
        <v>Albertsons|Pharmacy Manager</v>
      </c>
    </row>
    <row r="886" spans="1:8" x14ac:dyDescent="0.35">
      <c r="A886" s="2" t="str">
        <f>Raw_Data!A886</f>
        <v>Albertsons</v>
      </c>
      <c r="B886" s="2" t="str">
        <f>Raw_Data!C886</f>
        <v>Pharmacy</v>
      </c>
      <c r="C886" s="2" t="str">
        <f>Raw_Data!D886</f>
        <v>Pharmacist</v>
      </c>
      <c r="D886" s="2">
        <f>Raw_Data!F886</f>
        <v>68.09</v>
      </c>
      <c r="E886" s="2" t="str">
        <f>Raw_Data!H886</f>
        <v>HOURLY</v>
      </c>
      <c r="F886" s="2">
        <f>Raw_Data!I886</f>
        <v>6</v>
      </c>
      <c r="G886" s="13">
        <f>D886*INDEX(Multiplier_Lookup!$C$6:$C$9,MATCH(E886,Multiplier_Lookup!$B$6:$B$9,0))</f>
        <v>141627.20000000001</v>
      </c>
      <c r="H886" s="2" t="str">
        <f t="shared" si="13"/>
        <v>Albertsons|Pharmacist</v>
      </c>
    </row>
    <row r="887" spans="1:8" x14ac:dyDescent="0.35">
      <c r="A887" s="2" t="str">
        <f>Raw_Data!A887</f>
        <v>Albertsons</v>
      </c>
      <c r="B887" s="2" t="str">
        <f>Raw_Data!C887</f>
        <v>Pharmacy</v>
      </c>
      <c r="C887" s="2" t="str">
        <f>Raw_Data!D887</f>
        <v>Pharmacy Intern</v>
      </c>
      <c r="D887" s="2">
        <f>Raw_Data!F887</f>
        <v>21.05</v>
      </c>
      <c r="E887" s="2" t="str">
        <f>Raw_Data!H887</f>
        <v>HOURLY</v>
      </c>
      <c r="F887" s="2">
        <f>Raw_Data!I887</f>
        <v>8</v>
      </c>
      <c r="G887" s="13">
        <f>D887*INDEX(Multiplier_Lookup!$C$6:$C$9,MATCH(E887,Multiplier_Lookup!$B$6:$B$9,0))</f>
        <v>43784</v>
      </c>
      <c r="H887" s="2" t="str">
        <f t="shared" si="13"/>
        <v>Albertsons|Pharmacy Intern</v>
      </c>
    </row>
    <row r="888" spans="1:8" x14ac:dyDescent="0.35">
      <c r="A888" s="2" t="str">
        <f>Raw_Data!A888</f>
        <v>Albertsons</v>
      </c>
      <c r="B888" s="2" t="str">
        <f>Raw_Data!C888</f>
        <v>Pharmacy</v>
      </c>
      <c r="C888" s="2" t="str">
        <f>Raw_Data!D888</f>
        <v>Pharmacy Assistant</v>
      </c>
      <c r="D888" s="2">
        <f>Raw_Data!F888</f>
        <v>20.65</v>
      </c>
      <c r="E888" s="2" t="str">
        <f>Raw_Data!H888</f>
        <v>HOURLY</v>
      </c>
      <c r="F888" s="2">
        <f>Raw_Data!I888</f>
        <v>7</v>
      </c>
      <c r="G888" s="13">
        <f>D888*INDEX(Multiplier_Lookup!$C$6:$C$9,MATCH(E888,Multiplier_Lookup!$B$6:$B$9,0))</f>
        <v>42952</v>
      </c>
      <c r="H888" s="2" t="str">
        <f t="shared" si="13"/>
        <v>Albertsons|Pharmacy Assistant</v>
      </c>
    </row>
    <row r="889" spans="1:8" x14ac:dyDescent="0.35">
      <c r="A889" s="2" t="str">
        <f>Raw_Data!A889</f>
        <v>Albertsons</v>
      </c>
      <c r="B889" s="2" t="str">
        <f>Raw_Data!C889</f>
        <v>Management</v>
      </c>
      <c r="C889" s="2" t="str">
        <f>Raw_Data!D889</f>
        <v>Manager</v>
      </c>
      <c r="D889" s="2">
        <f>Raw_Data!F889</f>
        <v>17.37</v>
      </c>
      <c r="E889" s="2" t="str">
        <f>Raw_Data!H889</f>
        <v>HOURLY</v>
      </c>
      <c r="F889" s="2">
        <f>Raw_Data!I889</f>
        <v>11</v>
      </c>
      <c r="G889" s="13">
        <f>D889*INDEX(Multiplier_Lookup!$C$6:$C$9,MATCH(E889,Multiplier_Lookup!$B$6:$B$9,0))</f>
        <v>36129.599999999999</v>
      </c>
      <c r="H889" s="2" t="str">
        <f t="shared" si="13"/>
        <v>Albertsons|Manager</v>
      </c>
    </row>
    <row r="890" spans="1:8" x14ac:dyDescent="0.35">
      <c r="A890" s="2" t="str">
        <f>Raw_Data!A890</f>
        <v>Albertsons</v>
      </c>
      <c r="B890" s="2" t="str">
        <f>Raw_Data!C890</f>
        <v>Management</v>
      </c>
      <c r="C890" s="2" t="str">
        <f>Raw_Data!D890</f>
        <v>Closing Manager</v>
      </c>
      <c r="D890" s="2">
        <f>Raw_Data!F890</f>
        <v>16.55</v>
      </c>
      <c r="E890" s="2" t="str">
        <f>Raw_Data!H890</f>
        <v>HOURLY</v>
      </c>
      <c r="F890" s="2">
        <f>Raw_Data!I890</f>
        <v>10</v>
      </c>
      <c r="G890" s="13">
        <f>D890*INDEX(Multiplier_Lookup!$C$6:$C$9,MATCH(E890,Multiplier_Lookup!$B$6:$B$9,0))</f>
        <v>34424</v>
      </c>
      <c r="H890" s="2" t="str">
        <f t="shared" si="13"/>
        <v>Albertsons|Closing Manager</v>
      </c>
    </row>
    <row r="891" spans="1:8" x14ac:dyDescent="0.35">
      <c r="A891" s="2" t="str">
        <f>Raw_Data!A891</f>
        <v>Instacart</v>
      </c>
      <c r="B891" s="2" t="str">
        <f>Raw_Data!C891</f>
        <v>Management</v>
      </c>
      <c r="C891" s="2" t="str">
        <f>Raw_Data!D891</f>
        <v>Shift Leader</v>
      </c>
      <c r="D891" s="2">
        <f>Raw_Data!F891</f>
        <v>17.38</v>
      </c>
      <c r="E891" s="2" t="str">
        <f>Raw_Data!H891</f>
        <v>HOURLY</v>
      </c>
      <c r="F891" s="2">
        <f>Raw_Data!I891</f>
        <v>5</v>
      </c>
      <c r="G891" s="13">
        <f>D891*INDEX(Multiplier_Lookup!$C$6:$C$9,MATCH(E891,Multiplier_Lookup!$B$6:$B$9,0))</f>
        <v>36150.400000000001</v>
      </c>
      <c r="H891" s="2" t="str">
        <f t="shared" si="13"/>
        <v>Instacart|Shift Leader</v>
      </c>
    </row>
    <row r="892" spans="1:8" x14ac:dyDescent="0.35">
      <c r="A892" s="2" t="str">
        <f>Raw_Data!A892</f>
        <v>Instacart</v>
      </c>
      <c r="B892" s="2" t="str">
        <f>Raw_Data!C892</f>
        <v>Management</v>
      </c>
      <c r="C892" s="2" t="str">
        <f>Raw_Data!D892</f>
        <v>Senior Manager</v>
      </c>
      <c r="D892" s="2">
        <f>Raw_Data!F892</f>
        <v>201610</v>
      </c>
      <c r="E892" s="2" t="str">
        <f>Raw_Data!H892</f>
        <v>YEARLY</v>
      </c>
      <c r="F892" s="2">
        <f>Raw_Data!I892</f>
        <v>4</v>
      </c>
      <c r="G892" s="13">
        <f>D892*INDEX(Multiplier_Lookup!$C$6:$C$9,MATCH(E892,Multiplier_Lookup!$B$6:$B$9,0))</f>
        <v>201610</v>
      </c>
      <c r="H892" s="2" t="str">
        <f t="shared" si="13"/>
        <v>Instacart|Senior Manager</v>
      </c>
    </row>
    <row r="893" spans="1:8" x14ac:dyDescent="0.35">
      <c r="A893" s="2" t="str">
        <f>Raw_Data!A893</f>
        <v>Instacart</v>
      </c>
      <c r="B893" s="2" t="str">
        <f>Raw_Data!C893</f>
        <v>Management</v>
      </c>
      <c r="C893" s="2" t="str">
        <f>Raw_Data!D893</f>
        <v>Site Manager</v>
      </c>
      <c r="D893" s="2">
        <f>Raw_Data!F893</f>
        <v>48872</v>
      </c>
      <c r="E893" s="2" t="str">
        <f>Raw_Data!H893</f>
        <v>YEARLY</v>
      </c>
      <c r="F893" s="2">
        <f>Raw_Data!I893</f>
        <v>3</v>
      </c>
      <c r="G893" s="13">
        <f>D893*INDEX(Multiplier_Lookup!$C$6:$C$9,MATCH(E893,Multiplier_Lookup!$B$6:$B$9,0))</f>
        <v>48872</v>
      </c>
      <c r="H893" s="2" t="str">
        <f t="shared" si="13"/>
        <v>Instacart|Site Manager</v>
      </c>
    </row>
    <row r="894" spans="1:8" x14ac:dyDescent="0.35">
      <c r="A894" s="2" t="str">
        <f>Raw_Data!A894</f>
        <v>Instacart</v>
      </c>
      <c r="B894" s="2" t="str">
        <f>Raw_Data!C894</f>
        <v>Management</v>
      </c>
      <c r="C894" s="2" t="str">
        <f>Raw_Data!D894</f>
        <v>Operations Manager</v>
      </c>
      <c r="D894" s="2">
        <f>Raw_Data!F894</f>
        <v>111433</v>
      </c>
      <c r="E894" s="2" t="str">
        <f>Raw_Data!H894</f>
        <v>YEARLY</v>
      </c>
      <c r="F894" s="2">
        <f>Raw_Data!I894</f>
        <v>3</v>
      </c>
      <c r="G894" s="13">
        <f>D894*INDEX(Multiplier_Lookup!$C$6:$C$9,MATCH(E894,Multiplier_Lookup!$B$6:$B$9,0))</f>
        <v>111433</v>
      </c>
      <c r="H894" s="2" t="str">
        <f t="shared" si="13"/>
        <v>Instacart|Operations Manager</v>
      </c>
    </row>
    <row r="895" spans="1:8" x14ac:dyDescent="0.35">
      <c r="A895" s="2" t="str">
        <f>Raw_Data!A895</f>
        <v>Instacart</v>
      </c>
      <c r="B895" s="2" t="str">
        <f>Raw_Data!C895</f>
        <v>Management</v>
      </c>
      <c r="C895" s="2" t="str">
        <f>Raw_Data!D895</f>
        <v>Director</v>
      </c>
      <c r="D895" s="2">
        <f>Raw_Data!F895</f>
        <v>267642</v>
      </c>
      <c r="E895" s="2" t="str">
        <f>Raw_Data!H895</f>
        <v>YEARLY</v>
      </c>
      <c r="F895" s="2">
        <f>Raw_Data!I895</f>
        <v>3</v>
      </c>
      <c r="G895" s="13">
        <f>D895*INDEX(Multiplier_Lookup!$C$6:$C$9,MATCH(E895,Multiplier_Lookup!$B$6:$B$9,0))</f>
        <v>267642</v>
      </c>
      <c r="H895" s="2" t="str">
        <f t="shared" si="13"/>
        <v>Instacart|Director</v>
      </c>
    </row>
    <row r="896" spans="1:8" x14ac:dyDescent="0.35">
      <c r="A896" s="2" t="str">
        <f>Raw_Data!A896</f>
        <v>Instacart</v>
      </c>
      <c r="B896" s="2" t="str">
        <f>Raw_Data!C896</f>
        <v>Mathematics</v>
      </c>
      <c r="C896" s="2" t="str">
        <f>Raw_Data!D896</f>
        <v>Senior Data Scientist</v>
      </c>
      <c r="D896" s="2">
        <f>Raw_Data!F896</f>
        <v>192690</v>
      </c>
      <c r="E896" s="2" t="str">
        <f>Raw_Data!H896</f>
        <v>YEARLY</v>
      </c>
      <c r="F896" s="2">
        <f>Raw_Data!I896</f>
        <v>6</v>
      </c>
      <c r="G896" s="13">
        <f>D896*INDEX(Multiplier_Lookup!$C$6:$C$9,MATCH(E896,Multiplier_Lookup!$B$6:$B$9,0))</f>
        <v>192690</v>
      </c>
      <c r="H896" s="2" t="str">
        <f t="shared" si="13"/>
        <v>Instacart|Senior Data Scientist</v>
      </c>
    </row>
    <row r="897" spans="1:8" x14ac:dyDescent="0.35">
      <c r="A897" s="2" t="str">
        <f>Raw_Data!A897</f>
        <v>Instacart</v>
      </c>
      <c r="B897" s="2" t="str">
        <f>Raw_Data!C897</f>
        <v>Mathematics</v>
      </c>
      <c r="C897" s="2" t="str">
        <f>Raw_Data!D897</f>
        <v>Data Scientist</v>
      </c>
      <c r="D897" s="2">
        <f>Raw_Data!F897</f>
        <v>183723</v>
      </c>
      <c r="E897" s="2" t="str">
        <f>Raw_Data!H897</f>
        <v>YEARLY</v>
      </c>
      <c r="F897" s="2">
        <f>Raw_Data!I897</f>
        <v>7</v>
      </c>
      <c r="G897" s="13">
        <f>D897*INDEX(Multiplier_Lookup!$C$6:$C$9,MATCH(E897,Multiplier_Lookup!$B$6:$B$9,0))</f>
        <v>183723</v>
      </c>
      <c r="H897" s="2" t="str">
        <f t="shared" si="13"/>
        <v>Instacart|Data Scientist</v>
      </c>
    </row>
    <row r="898" spans="1:8" x14ac:dyDescent="0.35">
      <c r="A898" s="2" t="str">
        <f>Raw_Data!A898</f>
        <v>Instacart</v>
      </c>
      <c r="B898" s="2" t="str">
        <f>Raw_Data!C898</f>
        <v>Mathematics</v>
      </c>
      <c r="C898" s="2" t="str">
        <f>Raw_Data!D898</f>
        <v>Analyst</v>
      </c>
      <c r="D898" s="2">
        <f>Raw_Data!F898</f>
        <v>64333</v>
      </c>
      <c r="E898" s="2" t="str">
        <f>Raw_Data!H898</f>
        <v>YEARLY</v>
      </c>
      <c r="F898" s="2">
        <f>Raw_Data!I898</f>
        <v>3</v>
      </c>
      <c r="G898" s="13">
        <f>D898*INDEX(Multiplier_Lookup!$C$6:$C$9,MATCH(E898,Multiplier_Lookup!$B$6:$B$9,0))</f>
        <v>64333</v>
      </c>
      <c r="H898" s="2" t="str">
        <f t="shared" ref="H898:H961" si="14">A898&amp;"|"&amp;C898</f>
        <v>Instacart|Analyst</v>
      </c>
    </row>
    <row r="899" spans="1:8" x14ac:dyDescent="0.35">
      <c r="A899" s="2" t="str">
        <f>Raw_Data!A899</f>
        <v>Instacart</v>
      </c>
      <c r="B899" s="2" t="str">
        <f>Raw_Data!C899</f>
        <v>Human Resources</v>
      </c>
      <c r="C899" s="2" t="str">
        <f>Raw_Data!D899</f>
        <v>Safety Specialist</v>
      </c>
      <c r="D899" s="2">
        <f>Raw_Data!F899</f>
        <v>24.11</v>
      </c>
      <c r="E899" s="2" t="str">
        <f>Raw_Data!H899</f>
        <v>HOURLY</v>
      </c>
      <c r="F899" s="2">
        <f>Raw_Data!I899</f>
        <v>6</v>
      </c>
      <c r="G899" s="13">
        <f>D899*INDEX(Multiplier_Lookup!$C$6:$C$9,MATCH(E899,Multiplier_Lookup!$B$6:$B$9,0))</f>
        <v>50148.799999999996</v>
      </c>
      <c r="H899" s="2" t="str">
        <f t="shared" si="14"/>
        <v>Instacart|Safety Specialist</v>
      </c>
    </row>
    <row r="900" spans="1:8" x14ac:dyDescent="0.35">
      <c r="A900" s="2" t="str">
        <f>Raw_Data!A900</f>
        <v>Instacart</v>
      </c>
      <c r="B900" s="2" t="str">
        <f>Raw_Data!C900</f>
        <v>Human Resources</v>
      </c>
      <c r="C900" s="2" t="str">
        <f>Raw_Data!D900</f>
        <v>Technical Recruiter</v>
      </c>
      <c r="D900" s="2">
        <f>Raw_Data!F900</f>
        <v>128818</v>
      </c>
      <c r="E900" s="2" t="str">
        <f>Raw_Data!H900</f>
        <v>YEARLY</v>
      </c>
      <c r="F900" s="2">
        <f>Raw_Data!I900</f>
        <v>4</v>
      </c>
      <c r="G900" s="13">
        <f>D900*INDEX(Multiplier_Lookup!$C$6:$C$9,MATCH(E900,Multiplier_Lookup!$B$6:$B$9,0))</f>
        <v>128818</v>
      </c>
      <c r="H900" s="2" t="str">
        <f t="shared" si="14"/>
        <v>Instacart|Technical Recruiter</v>
      </c>
    </row>
    <row r="901" spans="1:8" x14ac:dyDescent="0.35">
      <c r="A901" s="2" t="str">
        <f>Raw_Data!A901</f>
        <v>Salesforce</v>
      </c>
      <c r="B901" s="2" t="str">
        <f>Raw_Data!C901</f>
        <v>Management</v>
      </c>
      <c r="C901" s="2" t="str">
        <f>Raw_Data!D901</f>
        <v>Director</v>
      </c>
      <c r="D901" s="2">
        <f>Raw_Data!F901</f>
        <v>240039</v>
      </c>
      <c r="E901" s="2" t="str">
        <f>Raw_Data!H901</f>
        <v>YEARLY</v>
      </c>
      <c r="F901" s="2">
        <f>Raw_Data!I901</f>
        <v>8</v>
      </c>
      <c r="G901" s="13">
        <f>D901*INDEX(Multiplier_Lookup!$C$6:$C$9,MATCH(E901,Multiplier_Lookup!$B$6:$B$9,0))</f>
        <v>240039</v>
      </c>
      <c r="H901" s="2" t="str">
        <f t="shared" si="14"/>
        <v>Salesforce|Director</v>
      </c>
    </row>
    <row r="902" spans="1:8" x14ac:dyDescent="0.35">
      <c r="A902" s="2" t="str">
        <f>Raw_Data!A902</f>
        <v>Salesforce</v>
      </c>
      <c r="B902" s="2" t="str">
        <f>Raw_Data!C902</f>
        <v>Management</v>
      </c>
      <c r="C902" s="2" t="str">
        <f>Raw_Data!D902</f>
        <v>Manager</v>
      </c>
      <c r="D902" s="2">
        <f>Raw_Data!F902</f>
        <v>145846</v>
      </c>
      <c r="E902" s="2" t="str">
        <f>Raw_Data!H902</f>
        <v>YEARLY</v>
      </c>
      <c r="F902" s="2">
        <f>Raw_Data!I902</f>
        <v>20</v>
      </c>
      <c r="G902" s="13">
        <f>D902*INDEX(Multiplier_Lookup!$C$6:$C$9,MATCH(E902,Multiplier_Lookup!$B$6:$B$9,0))</f>
        <v>145846</v>
      </c>
      <c r="H902" s="2" t="str">
        <f t="shared" si="14"/>
        <v>Salesforce|Manager</v>
      </c>
    </row>
    <row r="903" spans="1:8" x14ac:dyDescent="0.35">
      <c r="A903" s="2" t="str">
        <f>Raw_Data!A903</f>
        <v>Salesforce</v>
      </c>
      <c r="B903" s="2" t="str">
        <f>Raw_Data!C903</f>
        <v>Management</v>
      </c>
      <c r="C903" s="2" t="str">
        <f>Raw_Data!D903</f>
        <v>Senior Manager</v>
      </c>
      <c r="D903" s="2">
        <f>Raw_Data!F903</f>
        <v>202594</v>
      </c>
      <c r="E903" s="2" t="str">
        <f>Raw_Data!H903</f>
        <v>YEARLY</v>
      </c>
      <c r="F903" s="2">
        <f>Raw_Data!I903</f>
        <v>12</v>
      </c>
      <c r="G903" s="13">
        <f>D903*INDEX(Multiplier_Lookup!$C$6:$C$9,MATCH(E903,Multiplier_Lookup!$B$6:$B$9,0))</f>
        <v>202594</v>
      </c>
      <c r="H903" s="2" t="str">
        <f t="shared" si="14"/>
        <v>Salesforce|Senior Manager</v>
      </c>
    </row>
    <row r="904" spans="1:8" x14ac:dyDescent="0.35">
      <c r="A904" s="2" t="str">
        <f>Raw_Data!A904</f>
        <v>Salesforce</v>
      </c>
      <c r="B904" s="2" t="str">
        <f>Raw_Data!C904</f>
        <v>Management</v>
      </c>
      <c r="C904" s="2" t="str">
        <f>Raw_Data!D904</f>
        <v>Regional Vice President</v>
      </c>
      <c r="D904" s="2">
        <f>Raw_Data!F904</f>
        <v>231430</v>
      </c>
      <c r="E904" s="2" t="str">
        <f>Raw_Data!H904</f>
        <v>YEARLY</v>
      </c>
      <c r="F904" s="2">
        <f>Raw_Data!I904</f>
        <v>14</v>
      </c>
      <c r="G904" s="13">
        <f>D904*INDEX(Multiplier_Lookup!$C$6:$C$9,MATCH(E904,Multiplier_Lookup!$B$6:$B$9,0))</f>
        <v>231430</v>
      </c>
      <c r="H904" s="2" t="str">
        <f t="shared" si="14"/>
        <v>Salesforce|Regional Vice President</v>
      </c>
    </row>
    <row r="905" spans="1:8" x14ac:dyDescent="0.35">
      <c r="A905" s="2" t="str">
        <f>Raw_Data!A905</f>
        <v>Salesforce</v>
      </c>
      <c r="B905" s="2" t="str">
        <f>Raw_Data!C905</f>
        <v>Management</v>
      </c>
      <c r="C905" s="2" t="str">
        <f>Raw_Data!D905</f>
        <v>Vice President</v>
      </c>
      <c r="D905" s="2">
        <f>Raw_Data!F905</f>
        <v>293832</v>
      </c>
      <c r="E905" s="2" t="str">
        <f>Raw_Data!H905</f>
        <v>YEARLY</v>
      </c>
      <c r="F905" s="2">
        <f>Raw_Data!I905</f>
        <v>11</v>
      </c>
      <c r="G905" s="13">
        <f>D905*INDEX(Multiplier_Lookup!$C$6:$C$9,MATCH(E905,Multiplier_Lookup!$B$6:$B$9,0))</f>
        <v>293832</v>
      </c>
      <c r="H905" s="2" t="str">
        <f t="shared" si="14"/>
        <v>Salesforce|Vice President</v>
      </c>
    </row>
    <row r="906" spans="1:8" x14ac:dyDescent="0.35">
      <c r="A906" s="2" t="str">
        <f>Raw_Data!A906</f>
        <v>Salesforce</v>
      </c>
      <c r="B906" s="2" t="str">
        <f>Raw_Data!C906</f>
        <v>Management</v>
      </c>
      <c r="C906" s="2" t="str">
        <f>Raw_Data!D906</f>
        <v>Senior Director</v>
      </c>
      <c r="D906" s="2">
        <f>Raw_Data!F906</f>
        <v>304715</v>
      </c>
      <c r="E906" s="2" t="str">
        <f>Raw_Data!H906</f>
        <v>YEARLY</v>
      </c>
      <c r="F906" s="2">
        <f>Raw_Data!I906</f>
        <v>5</v>
      </c>
      <c r="G906" s="13">
        <f>D906*INDEX(Multiplier_Lookup!$C$6:$C$9,MATCH(E906,Multiplier_Lookup!$B$6:$B$9,0))</f>
        <v>304715</v>
      </c>
      <c r="H906" s="2" t="str">
        <f t="shared" si="14"/>
        <v>Salesforce|Senior Director</v>
      </c>
    </row>
    <row r="907" spans="1:8" x14ac:dyDescent="0.35">
      <c r="A907" s="2" t="str">
        <f>Raw_Data!A907</f>
        <v>Salesforce</v>
      </c>
      <c r="B907" s="2" t="str">
        <f>Raw_Data!C907</f>
        <v>Management</v>
      </c>
      <c r="C907" s="2" t="str">
        <f>Raw_Data!D907</f>
        <v>Business Development Manager</v>
      </c>
      <c r="D907" s="2">
        <f>Raw_Data!F907</f>
        <v>81060</v>
      </c>
      <c r="E907" s="2" t="str">
        <f>Raw_Data!H907</f>
        <v>YEARLY</v>
      </c>
      <c r="F907" s="2">
        <f>Raw_Data!I907</f>
        <v>7</v>
      </c>
      <c r="G907" s="13">
        <f>D907*INDEX(Multiplier_Lookup!$C$6:$C$9,MATCH(E907,Multiplier_Lookup!$B$6:$B$9,0))</f>
        <v>81060</v>
      </c>
      <c r="H907" s="2" t="str">
        <f t="shared" si="14"/>
        <v>Salesforce|Business Development Manager</v>
      </c>
    </row>
    <row r="908" spans="1:8" x14ac:dyDescent="0.35">
      <c r="A908" s="2" t="str">
        <f>Raw_Data!A908</f>
        <v>Salesforce</v>
      </c>
      <c r="B908" s="2" t="str">
        <f>Raw_Data!C908</f>
        <v>Management</v>
      </c>
      <c r="C908" s="2" t="str">
        <f>Raw_Data!D908</f>
        <v>Strategy Manager</v>
      </c>
      <c r="D908" s="2">
        <f>Raw_Data!F908</f>
        <v>161839</v>
      </c>
      <c r="E908" s="2" t="str">
        <f>Raw_Data!H908</f>
        <v>YEARLY</v>
      </c>
      <c r="F908" s="2">
        <f>Raw_Data!I908</f>
        <v>9</v>
      </c>
      <c r="G908" s="13">
        <f>D908*INDEX(Multiplier_Lookup!$C$6:$C$9,MATCH(E908,Multiplier_Lookup!$B$6:$B$9,0))</f>
        <v>161839</v>
      </c>
      <c r="H908" s="2" t="str">
        <f t="shared" si="14"/>
        <v>Salesforce|Strategy Manager</v>
      </c>
    </row>
    <row r="909" spans="1:8" x14ac:dyDescent="0.35">
      <c r="A909" s="2" t="str">
        <f>Raw_Data!A909</f>
        <v>Salesforce</v>
      </c>
      <c r="B909" s="2" t="str">
        <f>Raw_Data!C909</f>
        <v>Management</v>
      </c>
      <c r="C909" s="2" t="str">
        <f>Raw_Data!D909</f>
        <v>Senior Operations Manager</v>
      </c>
      <c r="D909" s="2">
        <f>Raw_Data!F909</f>
        <v>184002</v>
      </c>
      <c r="E909" s="2" t="str">
        <f>Raw_Data!H909</f>
        <v>YEARLY</v>
      </c>
      <c r="F909" s="2">
        <f>Raw_Data!I909</f>
        <v>8</v>
      </c>
      <c r="G909" s="13">
        <f>D909*INDEX(Multiplier_Lookup!$C$6:$C$9,MATCH(E909,Multiplier_Lookup!$B$6:$B$9,0))</f>
        <v>184002</v>
      </c>
      <c r="H909" s="2" t="str">
        <f t="shared" si="14"/>
        <v>Salesforce|Senior Operations Manager</v>
      </c>
    </row>
    <row r="910" spans="1:8" x14ac:dyDescent="0.35">
      <c r="A910" s="2" t="str">
        <f>Raw_Data!A910</f>
        <v>Salesforce</v>
      </c>
      <c r="B910" s="2" t="str">
        <f>Raw_Data!C910</f>
        <v>Management</v>
      </c>
      <c r="C910" s="2" t="str">
        <f>Raw_Data!D910</f>
        <v>Senior Vice President of Customer Success</v>
      </c>
      <c r="D910" s="2">
        <f>Raw_Data!F910</f>
        <v>113507</v>
      </c>
      <c r="E910" s="2" t="str">
        <f>Raw_Data!H910</f>
        <v>YEARLY</v>
      </c>
      <c r="F910" s="2">
        <f>Raw_Data!I910</f>
        <v>6</v>
      </c>
      <c r="G910" s="13">
        <f>D910*INDEX(Multiplier_Lookup!$C$6:$C$9,MATCH(E910,Multiplier_Lookup!$B$6:$B$9,0))</f>
        <v>113507</v>
      </c>
      <c r="H910" s="2" t="str">
        <f t="shared" si="14"/>
        <v>Salesforce|Senior Vice President of Customer Success</v>
      </c>
    </row>
    <row r="911" spans="1:8" x14ac:dyDescent="0.35">
      <c r="A911" s="2" t="str">
        <f>Raw_Data!A911</f>
        <v>Adobe</v>
      </c>
      <c r="B911" s="2" t="str">
        <f>Raw_Data!C911</f>
        <v>Management</v>
      </c>
      <c r="C911" s="2" t="str">
        <f>Raw_Data!D911</f>
        <v>Director</v>
      </c>
      <c r="D911" s="2">
        <f>Raw_Data!F911</f>
        <v>212563</v>
      </c>
      <c r="E911" s="2" t="str">
        <f>Raw_Data!H911</f>
        <v>YEARLY</v>
      </c>
      <c r="F911" s="2">
        <f>Raw_Data!I911</f>
        <v>8</v>
      </c>
      <c r="G911" s="13">
        <f>D911*INDEX(Multiplier_Lookup!$C$6:$C$9,MATCH(E911,Multiplier_Lookup!$B$6:$B$9,0))</f>
        <v>212563</v>
      </c>
      <c r="H911" s="2" t="str">
        <f t="shared" si="14"/>
        <v>Adobe|Director</v>
      </c>
    </row>
    <row r="912" spans="1:8" x14ac:dyDescent="0.35">
      <c r="A912" s="2" t="str">
        <f>Raw_Data!A912</f>
        <v>Adobe</v>
      </c>
      <c r="B912" s="2" t="str">
        <f>Raw_Data!C912</f>
        <v>Management</v>
      </c>
      <c r="C912" s="2" t="str">
        <f>Raw_Data!D912</f>
        <v>Manager</v>
      </c>
      <c r="D912" s="2">
        <f>Raw_Data!F912</f>
        <v>176864</v>
      </c>
      <c r="E912" s="2" t="str">
        <f>Raw_Data!H912</f>
        <v>YEARLY</v>
      </c>
      <c r="F912" s="2">
        <f>Raw_Data!I912</f>
        <v>6</v>
      </c>
      <c r="G912" s="13">
        <f>D912*INDEX(Multiplier_Lookup!$C$6:$C$9,MATCH(E912,Multiplier_Lookup!$B$6:$B$9,0))</f>
        <v>176864</v>
      </c>
      <c r="H912" s="2" t="str">
        <f t="shared" si="14"/>
        <v>Adobe|Manager</v>
      </c>
    </row>
    <row r="913" spans="1:8" x14ac:dyDescent="0.35">
      <c r="A913" s="2" t="str">
        <f>Raw_Data!A913</f>
        <v>Adobe</v>
      </c>
      <c r="B913" s="2" t="str">
        <f>Raw_Data!C913</f>
        <v>Management</v>
      </c>
      <c r="C913" s="2" t="str">
        <f>Raw_Data!D913</f>
        <v>Group Manager</v>
      </c>
      <c r="D913" s="2">
        <f>Raw_Data!F913</f>
        <v>211084</v>
      </c>
      <c r="E913" s="2" t="str">
        <f>Raw_Data!H913</f>
        <v>YEARLY</v>
      </c>
      <c r="F913" s="2">
        <f>Raw_Data!I913</f>
        <v>5</v>
      </c>
      <c r="G913" s="13">
        <f>D913*INDEX(Multiplier_Lookup!$C$6:$C$9,MATCH(E913,Multiplier_Lookup!$B$6:$B$9,0))</f>
        <v>211084</v>
      </c>
      <c r="H913" s="2" t="str">
        <f t="shared" si="14"/>
        <v>Adobe|Group Manager</v>
      </c>
    </row>
    <row r="914" spans="1:8" x14ac:dyDescent="0.35">
      <c r="A914" s="2" t="str">
        <f>Raw_Data!A914</f>
        <v>Adobe</v>
      </c>
      <c r="B914" s="2" t="str">
        <f>Raw_Data!C914</f>
        <v>Management</v>
      </c>
      <c r="C914" s="2" t="str">
        <f>Raw_Data!D914</f>
        <v>Director of Engineering</v>
      </c>
      <c r="D914" s="2">
        <f>Raw_Data!F914</f>
        <v>290689</v>
      </c>
      <c r="E914" s="2" t="str">
        <f>Raw_Data!H914</f>
        <v>YEARLY</v>
      </c>
      <c r="F914" s="2">
        <f>Raw_Data!I914</f>
        <v>4</v>
      </c>
      <c r="G914" s="13">
        <f>D914*INDEX(Multiplier_Lookup!$C$6:$C$9,MATCH(E914,Multiplier_Lookup!$B$6:$B$9,0))</f>
        <v>290689</v>
      </c>
      <c r="H914" s="2" t="str">
        <f t="shared" si="14"/>
        <v>Adobe|Director of Engineering</v>
      </c>
    </row>
    <row r="915" spans="1:8" x14ac:dyDescent="0.35">
      <c r="A915" s="2" t="str">
        <f>Raw_Data!A915</f>
        <v>Adobe</v>
      </c>
      <c r="B915" s="2" t="str">
        <f>Raw_Data!C915</f>
        <v>Management</v>
      </c>
      <c r="C915" s="2" t="str">
        <f>Raw_Data!D915</f>
        <v>Design Manager</v>
      </c>
      <c r="D915" s="2">
        <f>Raw_Data!F915</f>
        <v>207226</v>
      </c>
      <c r="E915" s="2" t="str">
        <f>Raw_Data!H915</f>
        <v>YEARLY</v>
      </c>
      <c r="F915" s="2">
        <f>Raw_Data!I915</f>
        <v>4</v>
      </c>
      <c r="G915" s="13">
        <f>D915*INDEX(Multiplier_Lookup!$C$6:$C$9,MATCH(E915,Multiplier_Lookup!$B$6:$B$9,0))</f>
        <v>207226</v>
      </c>
      <c r="H915" s="2" t="str">
        <f t="shared" si="14"/>
        <v>Adobe|Design Manager</v>
      </c>
    </row>
    <row r="916" spans="1:8" x14ac:dyDescent="0.35">
      <c r="A916" s="2" t="str">
        <f>Raw_Data!A916</f>
        <v>Adobe</v>
      </c>
      <c r="B916" s="2" t="str">
        <f>Raw_Data!C916</f>
        <v>Management</v>
      </c>
      <c r="C916" s="2" t="str">
        <f>Raw_Data!D916</f>
        <v>Vice President</v>
      </c>
      <c r="D916" s="2">
        <f>Raw_Data!F916</f>
        <v>370098</v>
      </c>
      <c r="E916" s="2" t="str">
        <f>Raw_Data!H916</f>
        <v>YEARLY</v>
      </c>
      <c r="F916" s="2">
        <f>Raw_Data!I916</f>
        <v>3</v>
      </c>
      <c r="G916" s="13">
        <f>D916*INDEX(Multiplier_Lookup!$C$6:$C$9,MATCH(E916,Multiplier_Lookup!$B$6:$B$9,0))</f>
        <v>370098</v>
      </c>
      <c r="H916" s="2" t="str">
        <f t="shared" si="14"/>
        <v>Adobe|Vice President</v>
      </c>
    </row>
    <row r="917" spans="1:8" x14ac:dyDescent="0.35">
      <c r="A917" s="2" t="str">
        <f>Raw_Data!A917</f>
        <v>Adobe</v>
      </c>
      <c r="B917" s="2" t="str">
        <f>Raw_Data!C917</f>
        <v>Management</v>
      </c>
      <c r="C917" s="2" t="str">
        <f>Raw_Data!D917</f>
        <v>Shift Leader</v>
      </c>
      <c r="D917" s="2">
        <f>Raw_Data!F917</f>
        <v>131445</v>
      </c>
      <c r="E917" s="2" t="str">
        <f>Raw_Data!H917</f>
        <v>YEARLY</v>
      </c>
      <c r="F917" s="2">
        <f>Raw_Data!I917</f>
        <v>3</v>
      </c>
      <c r="G917" s="13">
        <f>D917*INDEX(Multiplier_Lookup!$C$6:$C$9,MATCH(E917,Multiplier_Lookup!$B$6:$B$9,0))</f>
        <v>131445</v>
      </c>
      <c r="H917" s="2" t="str">
        <f t="shared" si="14"/>
        <v>Adobe|Shift Leader</v>
      </c>
    </row>
    <row r="918" spans="1:8" x14ac:dyDescent="0.35">
      <c r="A918" s="2" t="str">
        <f>Raw_Data!A918</f>
        <v>Adobe</v>
      </c>
      <c r="B918" s="2" t="str">
        <f>Raw_Data!C918</f>
        <v>Management</v>
      </c>
      <c r="C918" s="2" t="str">
        <f>Raw_Data!D918</f>
        <v>Senior Manager</v>
      </c>
      <c r="D918" s="2">
        <f>Raw_Data!F918</f>
        <v>178567</v>
      </c>
      <c r="E918" s="2" t="str">
        <f>Raw_Data!H918</f>
        <v>YEARLY</v>
      </c>
      <c r="F918" s="2">
        <f>Raw_Data!I918</f>
        <v>3</v>
      </c>
      <c r="G918" s="13">
        <f>D918*INDEX(Multiplier_Lookup!$C$6:$C$9,MATCH(E918,Multiplier_Lookup!$B$6:$B$9,0))</f>
        <v>178567</v>
      </c>
      <c r="H918" s="2" t="str">
        <f t="shared" si="14"/>
        <v>Adobe|Senior Manager</v>
      </c>
    </row>
    <row r="919" spans="1:8" x14ac:dyDescent="0.35">
      <c r="A919" s="2" t="str">
        <f>Raw_Data!A919</f>
        <v>Adobe</v>
      </c>
      <c r="B919" s="2" t="str">
        <f>Raw_Data!C919</f>
        <v>Management</v>
      </c>
      <c r="C919" s="2" t="str">
        <f>Raw_Data!D919</f>
        <v>Senior Director</v>
      </c>
      <c r="D919" s="2">
        <f>Raw_Data!F919</f>
        <v>294992</v>
      </c>
      <c r="E919" s="2" t="str">
        <f>Raw_Data!H919</f>
        <v>YEARLY</v>
      </c>
      <c r="F919" s="2">
        <f>Raw_Data!I919</f>
        <v>3</v>
      </c>
      <c r="G919" s="13">
        <f>D919*INDEX(Multiplier_Lookup!$C$6:$C$9,MATCH(E919,Multiplier_Lookup!$B$6:$B$9,0))</f>
        <v>294992</v>
      </c>
      <c r="H919" s="2" t="str">
        <f t="shared" si="14"/>
        <v>Adobe|Senior Director</v>
      </c>
    </row>
    <row r="920" spans="1:8" x14ac:dyDescent="0.35">
      <c r="A920" s="2" t="str">
        <f>Raw_Data!A920</f>
        <v>Adobe</v>
      </c>
      <c r="B920" s="2" t="str">
        <f>Raw_Data!C920</f>
        <v>Management</v>
      </c>
      <c r="C920" s="2" t="str">
        <f>Raw_Data!D920</f>
        <v>Associate Consultant</v>
      </c>
      <c r="D920" s="2">
        <f>Raw_Data!F920</f>
        <v>31.58</v>
      </c>
      <c r="E920" s="2" t="str">
        <f>Raw_Data!H920</f>
        <v>HOURLY</v>
      </c>
      <c r="F920" s="2">
        <f>Raw_Data!I920</f>
        <v>3</v>
      </c>
      <c r="G920" s="13">
        <f>D920*INDEX(Multiplier_Lookup!$C$6:$C$9,MATCH(E920,Multiplier_Lookup!$B$6:$B$9,0))</f>
        <v>65686.399999999994</v>
      </c>
      <c r="H920" s="2" t="str">
        <f t="shared" si="14"/>
        <v>Adobe|Associate Consultant</v>
      </c>
    </row>
    <row r="921" spans="1:8" x14ac:dyDescent="0.35">
      <c r="A921" s="2" t="str">
        <f>Raw_Data!A921</f>
        <v>Deloitte</v>
      </c>
      <c r="B921" s="2" t="str">
        <f>Raw_Data!C921</f>
        <v>Mathematics</v>
      </c>
      <c r="C921" s="2" t="str">
        <f>Raw_Data!D921</f>
        <v>Analyst</v>
      </c>
      <c r="D921" s="2">
        <f>Raw_Data!F921</f>
        <v>83796</v>
      </c>
      <c r="E921" s="2" t="str">
        <f>Raw_Data!H921</f>
        <v>YEARLY</v>
      </c>
      <c r="F921" s="2">
        <f>Raw_Data!I921</f>
        <v>99</v>
      </c>
      <c r="G921" s="13">
        <f>D921*INDEX(Multiplier_Lookup!$C$6:$C$9,MATCH(E921,Multiplier_Lookup!$B$6:$B$9,0))</f>
        <v>83796</v>
      </c>
      <c r="H921" s="2" t="str">
        <f t="shared" si="14"/>
        <v>Deloitte|Analyst</v>
      </c>
    </row>
    <row r="922" spans="1:8" x14ac:dyDescent="0.35">
      <c r="A922" s="2" t="str">
        <f>Raw_Data!A922</f>
        <v>Deloitte</v>
      </c>
      <c r="B922" s="2" t="str">
        <f>Raw_Data!C922</f>
        <v>Mathematics</v>
      </c>
      <c r="C922" s="2" t="str">
        <f>Raw_Data!D922</f>
        <v>Business Analyst</v>
      </c>
      <c r="D922" s="2">
        <f>Raw_Data!F922</f>
        <v>82552</v>
      </c>
      <c r="E922" s="2" t="str">
        <f>Raw_Data!H922</f>
        <v>YEARLY</v>
      </c>
      <c r="F922" s="2">
        <f>Raw_Data!I922</f>
        <v>16</v>
      </c>
      <c r="G922" s="13">
        <f>D922*INDEX(Multiplier_Lookup!$C$6:$C$9,MATCH(E922,Multiplier_Lookup!$B$6:$B$9,0))</f>
        <v>82552</v>
      </c>
      <c r="H922" s="2" t="str">
        <f t="shared" si="14"/>
        <v>Deloitte|Business Analyst</v>
      </c>
    </row>
    <row r="923" spans="1:8" x14ac:dyDescent="0.35">
      <c r="A923" s="2" t="str">
        <f>Raw_Data!A923</f>
        <v>Deloitte</v>
      </c>
      <c r="B923" s="2" t="str">
        <f>Raw_Data!C923</f>
        <v>Mathematics</v>
      </c>
      <c r="C923" s="2" t="str">
        <f>Raw_Data!D923</f>
        <v>Data Scientist</v>
      </c>
      <c r="D923" s="2">
        <f>Raw_Data!F923</f>
        <v>118918</v>
      </c>
      <c r="E923" s="2" t="str">
        <f>Raw_Data!H923</f>
        <v>YEARLY</v>
      </c>
      <c r="F923" s="2">
        <f>Raw_Data!I923</f>
        <v>7</v>
      </c>
      <c r="G923" s="13">
        <f>D923*INDEX(Multiplier_Lookup!$C$6:$C$9,MATCH(E923,Multiplier_Lookup!$B$6:$B$9,0))</f>
        <v>118918</v>
      </c>
      <c r="H923" s="2" t="str">
        <f t="shared" si="14"/>
        <v>Deloitte|Data Scientist</v>
      </c>
    </row>
    <row r="924" spans="1:8" x14ac:dyDescent="0.35">
      <c r="A924" s="2" t="str">
        <f>Raw_Data!A924</f>
        <v>Deloitte</v>
      </c>
      <c r="B924" s="2" t="str">
        <f>Raw_Data!C924</f>
        <v>Mathematics</v>
      </c>
      <c r="C924" s="2" t="str">
        <f>Raw_Data!D924</f>
        <v>Senior Analyst</v>
      </c>
      <c r="D924" s="2">
        <f>Raw_Data!F924</f>
        <v>86269</v>
      </c>
      <c r="E924" s="2" t="str">
        <f>Raw_Data!H924</f>
        <v>YEARLY</v>
      </c>
      <c r="F924" s="2">
        <f>Raw_Data!I924</f>
        <v>12</v>
      </c>
      <c r="G924" s="13">
        <f>D924*INDEX(Multiplier_Lookup!$C$6:$C$9,MATCH(E924,Multiplier_Lookup!$B$6:$B$9,0))</f>
        <v>86269</v>
      </c>
      <c r="H924" s="2" t="str">
        <f t="shared" si="14"/>
        <v>Deloitte|Senior Analyst</v>
      </c>
    </row>
    <row r="925" spans="1:8" x14ac:dyDescent="0.35">
      <c r="A925" s="2" t="str">
        <f>Raw_Data!A925</f>
        <v>Deloitte</v>
      </c>
      <c r="B925" s="2" t="str">
        <f>Raw_Data!C925</f>
        <v>Mathematics</v>
      </c>
      <c r="C925" s="2" t="str">
        <f>Raw_Data!D925</f>
        <v>Analytics Consultant</v>
      </c>
      <c r="D925" s="2">
        <f>Raw_Data!F925</f>
        <v>93651</v>
      </c>
      <c r="E925" s="2" t="str">
        <f>Raw_Data!H925</f>
        <v>YEARLY</v>
      </c>
      <c r="F925" s="2">
        <f>Raw_Data!I925</f>
        <v>6</v>
      </c>
      <c r="G925" s="13">
        <f>D925*INDEX(Multiplier_Lookup!$C$6:$C$9,MATCH(E925,Multiplier_Lookup!$B$6:$B$9,0))</f>
        <v>93651</v>
      </c>
      <c r="H925" s="2" t="str">
        <f t="shared" si="14"/>
        <v>Deloitte|Analytics Consultant</v>
      </c>
    </row>
    <row r="926" spans="1:8" x14ac:dyDescent="0.35">
      <c r="A926" s="2" t="str">
        <f>Raw_Data!A926</f>
        <v>Deloitte</v>
      </c>
      <c r="B926" s="2" t="str">
        <f>Raw_Data!C926</f>
        <v>Mathematics</v>
      </c>
      <c r="C926" s="2" t="str">
        <f>Raw_Data!D926</f>
        <v>Junior Analyst</v>
      </c>
      <c r="D926" s="2">
        <f>Raw_Data!F926</f>
        <v>62919</v>
      </c>
      <c r="E926" s="2" t="str">
        <f>Raw_Data!H926</f>
        <v>YEARLY</v>
      </c>
      <c r="F926" s="2">
        <f>Raw_Data!I926</f>
        <v>3</v>
      </c>
      <c r="G926" s="13">
        <f>D926*INDEX(Multiplier_Lookup!$C$6:$C$9,MATCH(E926,Multiplier_Lookup!$B$6:$B$9,0))</f>
        <v>62919</v>
      </c>
      <c r="H926" s="2" t="str">
        <f t="shared" si="14"/>
        <v>Deloitte|Junior Analyst</v>
      </c>
    </row>
    <row r="927" spans="1:8" x14ac:dyDescent="0.35">
      <c r="A927" s="2" t="str">
        <f>Raw_Data!A927</f>
        <v>Deloitte</v>
      </c>
      <c r="B927" s="2" t="str">
        <f>Raw_Data!C927</f>
        <v>Mathematics</v>
      </c>
      <c r="C927" s="2" t="str">
        <f>Raw_Data!D927</f>
        <v>Data Analyst</v>
      </c>
      <c r="D927" s="2">
        <f>Raw_Data!F927</f>
        <v>89313</v>
      </c>
      <c r="E927" s="2" t="str">
        <f>Raw_Data!H927</f>
        <v>YEARLY</v>
      </c>
      <c r="F927" s="2">
        <f>Raw_Data!I927</f>
        <v>3</v>
      </c>
      <c r="G927" s="13">
        <f>D927*INDEX(Multiplier_Lookup!$C$6:$C$9,MATCH(E927,Multiplier_Lookup!$B$6:$B$9,0))</f>
        <v>89313</v>
      </c>
      <c r="H927" s="2" t="str">
        <f t="shared" si="14"/>
        <v>Deloitte|Data Analyst</v>
      </c>
    </row>
    <row r="928" spans="1:8" x14ac:dyDescent="0.35">
      <c r="A928" s="2" t="str">
        <f>Raw_Data!A928</f>
        <v>Deloitte</v>
      </c>
      <c r="B928" s="2" t="str">
        <f>Raw_Data!C928</f>
        <v>Mathematics</v>
      </c>
      <c r="C928" s="2" t="str">
        <f>Raw_Data!D928</f>
        <v>Analytics Manager</v>
      </c>
      <c r="D928" s="2">
        <f>Raw_Data!F928</f>
        <v>187127</v>
      </c>
      <c r="E928" s="2" t="str">
        <f>Raw_Data!H928</f>
        <v>YEARLY</v>
      </c>
      <c r="F928" s="2">
        <f>Raw_Data!I928</f>
        <v>2</v>
      </c>
      <c r="G928" s="13">
        <f>D928*INDEX(Multiplier_Lookup!$C$6:$C$9,MATCH(E928,Multiplier_Lookup!$B$6:$B$9,0))</f>
        <v>187127</v>
      </c>
      <c r="H928" s="2" t="str">
        <f t="shared" si="14"/>
        <v>Deloitte|Analytics Manager</v>
      </c>
    </row>
    <row r="929" spans="1:8" x14ac:dyDescent="0.35">
      <c r="A929" s="2" t="str">
        <f>Raw_Data!A929</f>
        <v>Deloitte</v>
      </c>
      <c r="B929" s="2" t="str">
        <f>Raw_Data!C929</f>
        <v>Mathematics</v>
      </c>
      <c r="C929" s="2" t="str">
        <f>Raw_Data!D929</f>
        <v>Lead Data Scientist</v>
      </c>
      <c r="D929" s="2">
        <f>Raw_Data!F929</f>
        <v>139689</v>
      </c>
      <c r="E929" s="2" t="str">
        <f>Raw_Data!H929</f>
        <v>YEARLY</v>
      </c>
      <c r="F929" s="2">
        <f>Raw_Data!I929</f>
        <v>1</v>
      </c>
      <c r="G929" s="13">
        <f>D929*INDEX(Multiplier_Lookup!$C$6:$C$9,MATCH(E929,Multiplier_Lookup!$B$6:$B$9,0))</f>
        <v>139689</v>
      </c>
      <c r="H929" s="2" t="str">
        <f t="shared" si="14"/>
        <v>Deloitte|Lead Data Scientist</v>
      </c>
    </row>
    <row r="930" spans="1:8" x14ac:dyDescent="0.35">
      <c r="A930" s="2" t="str">
        <f>Raw_Data!A930</f>
        <v>Deloitte</v>
      </c>
      <c r="B930" s="2" t="str">
        <f>Raw_Data!C930</f>
        <v>Information Design &amp; Documentation</v>
      </c>
      <c r="C930" s="2" t="str">
        <f>Raw_Data!D930</f>
        <v>Technology Analyst</v>
      </c>
      <c r="D930" s="2">
        <f>Raw_Data!F930</f>
        <v>89870</v>
      </c>
      <c r="E930" s="2" t="str">
        <f>Raw_Data!H930</f>
        <v>YEARLY</v>
      </c>
      <c r="F930" s="2">
        <f>Raw_Data!I930</f>
        <v>25</v>
      </c>
      <c r="G930" s="13">
        <f>D930*INDEX(Multiplier_Lookup!$C$6:$C$9,MATCH(E930,Multiplier_Lookup!$B$6:$B$9,0))</f>
        <v>89870</v>
      </c>
      <c r="H930" s="2" t="str">
        <f t="shared" si="14"/>
        <v>Deloitte|Technology Analyst</v>
      </c>
    </row>
    <row r="931" spans="1:8" x14ac:dyDescent="0.35">
      <c r="A931" s="2" t="str">
        <f>Raw_Data!A931</f>
        <v>Intel Corporation</v>
      </c>
      <c r="B931" s="2" t="str">
        <f>Raw_Data!C931</f>
        <v>Management</v>
      </c>
      <c r="C931" s="2" t="str">
        <f>Raw_Data!D931</f>
        <v>Director</v>
      </c>
      <c r="D931" s="2">
        <f>Raw_Data!F931</f>
        <v>243858</v>
      </c>
      <c r="E931" s="2" t="str">
        <f>Raw_Data!H931</f>
        <v>YEARLY</v>
      </c>
      <c r="F931" s="2">
        <f>Raw_Data!I931</f>
        <v>20</v>
      </c>
      <c r="G931" s="13">
        <f>D931*INDEX(Multiplier_Lookup!$C$6:$C$9,MATCH(E931,Multiplier_Lookup!$B$6:$B$9,0))</f>
        <v>243858</v>
      </c>
      <c r="H931" s="2" t="str">
        <f t="shared" si="14"/>
        <v>Intel Corporation|Director</v>
      </c>
    </row>
    <row r="932" spans="1:8" x14ac:dyDescent="0.35">
      <c r="A932" s="2" t="str">
        <f>Raw_Data!A932</f>
        <v>Intel Corporation</v>
      </c>
      <c r="B932" s="2" t="str">
        <f>Raw_Data!C932</f>
        <v>Management</v>
      </c>
      <c r="C932" s="2" t="str">
        <f>Raw_Data!D932</f>
        <v>Operations Manager</v>
      </c>
      <c r="D932" s="2">
        <f>Raw_Data!F932</f>
        <v>112541</v>
      </c>
      <c r="E932" s="2" t="str">
        <f>Raw_Data!H932</f>
        <v>YEARLY</v>
      </c>
      <c r="F932" s="2">
        <f>Raw_Data!I932</f>
        <v>15</v>
      </c>
      <c r="G932" s="13">
        <f>D932*INDEX(Multiplier_Lookup!$C$6:$C$9,MATCH(E932,Multiplier_Lookup!$B$6:$B$9,0))</f>
        <v>112541</v>
      </c>
      <c r="H932" s="2" t="str">
        <f t="shared" si="14"/>
        <v>Intel Corporation|Operations Manager</v>
      </c>
    </row>
    <row r="933" spans="1:8" x14ac:dyDescent="0.35">
      <c r="A933" s="2" t="str">
        <f>Raw_Data!A933</f>
        <v>Intel Corporation</v>
      </c>
      <c r="B933" s="2" t="str">
        <f>Raw_Data!C933</f>
        <v>Management</v>
      </c>
      <c r="C933" s="2" t="str">
        <f>Raw_Data!D933</f>
        <v>Manager</v>
      </c>
      <c r="D933" s="2">
        <f>Raw_Data!F933</f>
        <v>153509</v>
      </c>
      <c r="E933" s="2" t="str">
        <f>Raw_Data!H933</f>
        <v>YEARLY</v>
      </c>
      <c r="F933" s="2">
        <f>Raw_Data!I933</f>
        <v>12</v>
      </c>
      <c r="G933" s="13">
        <f>D933*INDEX(Multiplier_Lookup!$C$6:$C$9,MATCH(E933,Multiplier_Lookup!$B$6:$B$9,0))</f>
        <v>153509</v>
      </c>
      <c r="H933" s="2" t="str">
        <f t="shared" si="14"/>
        <v>Intel Corporation|Manager</v>
      </c>
    </row>
    <row r="934" spans="1:8" x14ac:dyDescent="0.35">
      <c r="A934" s="2" t="str">
        <f>Raw_Data!A934</f>
        <v>Intel Corporation</v>
      </c>
      <c r="B934" s="2" t="str">
        <f>Raw_Data!C934</f>
        <v>Management</v>
      </c>
      <c r="C934" s="2" t="str">
        <f>Raw_Data!D934</f>
        <v>Group Leader</v>
      </c>
      <c r="D934" s="2">
        <f>Raw_Data!F934</f>
        <v>144288</v>
      </c>
      <c r="E934" s="2" t="str">
        <f>Raw_Data!H934</f>
        <v>YEARLY</v>
      </c>
      <c r="F934" s="2">
        <f>Raw_Data!I934</f>
        <v>7</v>
      </c>
      <c r="G934" s="13">
        <f>D934*INDEX(Multiplier_Lookup!$C$6:$C$9,MATCH(E934,Multiplier_Lookup!$B$6:$B$9,0))</f>
        <v>144288</v>
      </c>
      <c r="H934" s="2" t="str">
        <f t="shared" si="14"/>
        <v>Intel Corporation|Group Leader</v>
      </c>
    </row>
    <row r="935" spans="1:8" x14ac:dyDescent="0.35">
      <c r="A935" s="2" t="str">
        <f>Raw_Data!A935</f>
        <v>Intel Corporation</v>
      </c>
      <c r="B935" s="2" t="str">
        <f>Raw_Data!C935</f>
        <v>Management</v>
      </c>
      <c r="C935" s="2" t="str">
        <f>Raw_Data!D935</f>
        <v>Capacity Manager</v>
      </c>
      <c r="D935" s="2">
        <f>Raw_Data!F935</f>
        <v>68804</v>
      </c>
      <c r="E935" s="2" t="str">
        <f>Raw_Data!H935</f>
        <v>YEARLY</v>
      </c>
      <c r="F935" s="2">
        <f>Raw_Data!I935</f>
        <v>6</v>
      </c>
      <c r="G935" s="13">
        <f>D935*INDEX(Multiplier_Lookup!$C$6:$C$9,MATCH(E935,Multiplier_Lookup!$B$6:$B$9,0))</f>
        <v>68804</v>
      </c>
      <c r="H935" s="2" t="str">
        <f t="shared" si="14"/>
        <v>Intel Corporation|Capacity Manager</v>
      </c>
    </row>
    <row r="936" spans="1:8" x14ac:dyDescent="0.35">
      <c r="A936" s="2" t="str">
        <f>Raw_Data!A936</f>
        <v>Intel Corporation</v>
      </c>
      <c r="B936" s="2" t="str">
        <f>Raw_Data!C936</f>
        <v>Management</v>
      </c>
      <c r="C936" s="2" t="str">
        <f>Raw_Data!D936</f>
        <v>Business Operations Manager</v>
      </c>
      <c r="D936" s="2">
        <f>Raw_Data!F936</f>
        <v>126378</v>
      </c>
      <c r="E936" s="2" t="str">
        <f>Raw_Data!H936</f>
        <v>YEARLY</v>
      </c>
      <c r="F936" s="2">
        <f>Raw_Data!I936</f>
        <v>6</v>
      </c>
      <c r="G936" s="13">
        <f>D936*INDEX(Multiplier_Lookup!$C$6:$C$9,MATCH(E936,Multiplier_Lookup!$B$6:$B$9,0))</f>
        <v>126378</v>
      </c>
      <c r="H936" s="2" t="str">
        <f t="shared" si="14"/>
        <v>Intel Corporation|Business Operations Manager</v>
      </c>
    </row>
    <row r="937" spans="1:8" x14ac:dyDescent="0.35">
      <c r="A937" s="2" t="str">
        <f>Raw_Data!A937</f>
        <v>Intel Corporation</v>
      </c>
      <c r="B937" s="2" t="str">
        <f>Raw_Data!C937</f>
        <v>Management</v>
      </c>
      <c r="C937" s="2" t="str">
        <f>Raw_Data!D937</f>
        <v>Senior Director</v>
      </c>
      <c r="D937" s="2">
        <f>Raw_Data!F937</f>
        <v>269645</v>
      </c>
      <c r="E937" s="2" t="str">
        <f>Raw_Data!H937</f>
        <v>YEARLY</v>
      </c>
      <c r="F937" s="2">
        <f>Raw_Data!I937</f>
        <v>6</v>
      </c>
      <c r="G937" s="13">
        <f>D937*INDEX(Multiplier_Lookup!$C$6:$C$9,MATCH(E937,Multiplier_Lookup!$B$6:$B$9,0))</f>
        <v>269645</v>
      </c>
      <c r="H937" s="2" t="str">
        <f t="shared" si="14"/>
        <v>Intel Corporation|Senior Director</v>
      </c>
    </row>
    <row r="938" spans="1:8" x14ac:dyDescent="0.35">
      <c r="A938" s="2" t="str">
        <f>Raw_Data!A938</f>
        <v>Intel Corporation</v>
      </c>
      <c r="B938" s="2" t="str">
        <f>Raw_Data!C938</f>
        <v>Management</v>
      </c>
      <c r="C938" s="2" t="str">
        <f>Raw_Data!D938</f>
        <v>Business Development Manager</v>
      </c>
      <c r="D938" s="2">
        <f>Raw_Data!F938</f>
        <v>153855</v>
      </c>
      <c r="E938" s="2" t="str">
        <f>Raw_Data!H938</f>
        <v>YEARLY</v>
      </c>
      <c r="F938" s="2">
        <f>Raw_Data!I938</f>
        <v>7</v>
      </c>
      <c r="G938" s="13">
        <f>D938*INDEX(Multiplier_Lookup!$C$6:$C$9,MATCH(E938,Multiplier_Lookup!$B$6:$B$9,0))</f>
        <v>153855</v>
      </c>
      <c r="H938" s="2" t="str">
        <f t="shared" si="14"/>
        <v>Intel Corporation|Business Development Manager</v>
      </c>
    </row>
    <row r="939" spans="1:8" x14ac:dyDescent="0.35">
      <c r="A939" s="2" t="str">
        <f>Raw_Data!A939</f>
        <v>Intel Corporation</v>
      </c>
      <c r="B939" s="2" t="str">
        <f>Raw_Data!C939</f>
        <v>Management</v>
      </c>
      <c r="C939" s="2" t="str">
        <f>Raw_Data!D939</f>
        <v>Supply Manager</v>
      </c>
      <c r="D939" s="2">
        <f>Raw_Data!F939</f>
        <v>89080</v>
      </c>
      <c r="E939" s="2" t="str">
        <f>Raw_Data!H939</f>
        <v>YEARLY</v>
      </c>
      <c r="F939" s="2">
        <f>Raw_Data!I939</f>
        <v>6</v>
      </c>
      <c r="G939" s="13">
        <f>D939*INDEX(Multiplier_Lookup!$C$6:$C$9,MATCH(E939,Multiplier_Lookup!$B$6:$B$9,0))</f>
        <v>89080</v>
      </c>
      <c r="H939" s="2" t="str">
        <f t="shared" si="14"/>
        <v>Intel Corporation|Supply Manager</v>
      </c>
    </row>
    <row r="940" spans="1:8" x14ac:dyDescent="0.35">
      <c r="A940" s="2" t="str">
        <f>Raw_Data!A940</f>
        <v>Intel Corporation</v>
      </c>
      <c r="B940" s="2" t="str">
        <f>Raw_Data!C940</f>
        <v>Management</v>
      </c>
      <c r="C940" s="2" t="str">
        <f>Raw_Data!D940</f>
        <v>Senior Manager</v>
      </c>
      <c r="D940" s="2">
        <f>Raw_Data!F940</f>
        <v>203640</v>
      </c>
      <c r="E940" s="2" t="str">
        <f>Raw_Data!H940</f>
        <v>YEARLY</v>
      </c>
      <c r="F940" s="2">
        <f>Raw_Data!I940</f>
        <v>6</v>
      </c>
      <c r="G940" s="13">
        <f>D940*INDEX(Multiplier_Lookup!$C$6:$C$9,MATCH(E940,Multiplier_Lookup!$B$6:$B$9,0))</f>
        <v>203640</v>
      </c>
      <c r="H940" s="2" t="str">
        <f t="shared" si="14"/>
        <v>Intel Corporation|Senior Manager</v>
      </c>
    </row>
    <row r="941" spans="1:8" x14ac:dyDescent="0.35">
      <c r="A941" s="2" t="str">
        <f>Raw_Data!A941</f>
        <v>Cisco</v>
      </c>
      <c r="B941" s="2" t="str">
        <f>Raw_Data!C941</f>
        <v>Sales</v>
      </c>
      <c r="C941" s="2" t="str">
        <f>Raw_Data!D941</f>
        <v>Account Manager</v>
      </c>
      <c r="D941" s="2">
        <f>Raw_Data!F941</f>
        <v>105219</v>
      </c>
      <c r="E941" s="2" t="str">
        <f>Raw_Data!H941</f>
        <v>YEARLY</v>
      </c>
      <c r="F941" s="2">
        <f>Raw_Data!I941</f>
        <v>14</v>
      </c>
      <c r="G941" s="13">
        <f>D941*INDEX(Multiplier_Lookup!$C$6:$C$9,MATCH(E941,Multiplier_Lookup!$B$6:$B$9,0))</f>
        <v>105219</v>
      </c>
      <c r="H941" s="2" t="str">
        <f t="shared" si="14"/>
        <v>Cisco|Account Manager</v>
      </c>
    </row>
    <row r="942" spans="1:8" x14ac:dyDescent="0.35">
      <c r="A942" s="2" t="str">
        <f>Raw_Data!A942</f>
        <v>Cisco</v>
      </c>
      <c r="B942" s="2" t="str">
        <f>Raw_Data!C942</f>
        <v>Sales</v>
      </c>
      <c r="C942" s="2" t="str">
        <f>Raw_Data!D942</f>
        <v>Account Executive</v>
      </c>
      <c r="D942" s="2">
        <f>Raw_Data!F942</f>
        <v>113140</v>
      </c>
      <c r="E942" s="2" t="str">
        <f>Raw_Data!H942</f>
        <v>YEARLY</v>
      </c>
      <c r="F942" s="2">
        <f>Raw_Data!I942</f>
        <v>21</v>
      </c>
      <c r="G942" s="13">
        <f>D942*INDEX(Multiplier_Lookup!$C$6:$C$9,MATCH(E942,Multiplier_Lookup!$B$6:$B$9,0))</f>
        <v>113140</v>
      </c>
      <c r="H942" s="2" t="str">
        <f t="shared" si="14"/>
        <v>Cisco|Account Executive</v>
      </c>
    </row>
    <row r="943" spans="1:8" x14ac:dyDescent="0.35">
      <c r="A943" s="2" t="str">
        <f>Raw_Data!A943</f>
        <v>Cisco</v>
      </c>
      <c r="B943" s="2" t="str">
        <f>Raw_Data!C943</f>
        <v>Sales</v>
      </c>
      <c r="C943" s="2" t="str">
        <f>Raw_Data!D943</f>
        <v>Partnership Manager</v>
      </c>
      <c r="D943" s="2">
        <f>Raw_Data!F943</f>
        <v>94322</v>
      </c>
      <c r="E943" s="2" t="str">
        <f>Raw_Data!H943</f>
        <v>YEARLY</v>
      </c>
      <c r="F943" s="2">
        <f>Raw_Data!I943</f>
        <v>12</v>
      </c>
      <c r="G943" s="13">
        <f>D943*INDEX(Multiplier_Lookup!$C$6:$C$9,MATCH(E943,Multiplier_Lookup!$B$6:$B$9,0))</f>
        <v>94322</v>
      </c>
      <c r="H943" s="2" t="str">
        <f t="shared" si="14"/>
        <v>Cisco|Partnership Manager</v>
      </c>
    </row>
    <row r="944" spans="1:8" x14ac:dyDescent="0.35">
      <c r="A944" s="2" t="str">
        <f>Raw_Data!A944</f>
        <v>Cisco</v>
      </c>
      <c r="B944" s="2" t="str">
        <f>Raw_Data!C944</f>
        <v>Sales</v>
      </c>
      <c r="C944" s="2" t="str">
        <f>Raw_Data!D944</f>
        <v>Sales</v>
      </c>
      <c r="D944" s="2">
        <f>Raw_Data!F944</f>
        <v>150378</v>
      </c>
      <c r="E944" s="2" t="str">
        <f>Raw_Data!H944</f>
        <v>YEARLY</v>
      </c>
      <c r="F944" s="2">
        <f>Raw_Data!I944</f>
        <v>9</v>
      </c>
      <c r="G944" s="13">
        <f>D944*INDEX(Multiplier_Lookup!$C$6:$C$9,MATCH(E944,Multiplier_Lookup!$B$6:$B$9,0))</f>
        <v>150378</v>
      </c>
      <c r="H944" s="2" t="str">
        <f t="shared" si="14"/>
        <v>Cisco|Sales</v>
      </c>
    </row>
    <row r="945" spans="1:8" x14ac:dyDescent="0.35">
      <c r="A945" s="2" t="str">
        <f>Raw_Data!A945</f>
        <v>Cisco</v>
      </c>
      <c r="B945" s="2" t="str">
        <f>Raw_Data!C945</f>
        <v>Sales</v>
      </c>
      <c r="C945" s="2" t="str">
        <f>Raw_Data!D945</f>
        <v>Sales Specialist</v>
      </c>
      <c r="D945" s="2">
        <f>Raw_Data!F945</f>
        <v>108048</v>
      </c>
      <c r="E945" s="2" t="str">
        <f>Raw_Data!H945</f>
        <v>YEARLY</v>
      </c>
      <c r="F945" s="2">
        <f>Raw_Data!I945</f>
        <v>9</v>
      </c>
      <c r="G945" s="13">
        <f>D945*INDEX(Multiplier_Lookup!$C$6:$C$9,MATCH(E945,Multiplier_Lookup!$B$6:$B$9,0))</f>
        <v>108048</v>
      </c>
      <c r="H945" s="2" t="str">
        <f t="shared" si="14"/>
        <v>Cisco|Sales Specialist</v>
      </c>
    </row>
    <row r="946" spans="1:8" x14ac:dyDescent="0.35">
      <c r="A946" s="2" t="str">
        <f>Raw_Data!A946</f>
        <v>Cisco</v>
      </c>
      <c r="B946" s="2" t="str">
        <f>Raw_Data!C946</f>
        <v>Sales</v>
      </c>
      <c r="C946" s="2" t="str">
        <f>Raw_Data!D946</f>
        <v>Sales Account Manager</v>
      </c>
      <c r="D946" s="2">
        <f>Raw_Data!F946</f>
        <v>68594</v>
      </c>
      <c r="E946" s="2" t="str">
        <f>Raw_Data!H946</f>
        <v>YEARLY</v>
      </c>
      <c r="F946" s="2">
        <f>Raw_Data!I946</f>
        <v>7</v>
      </c>
      <c r="G946" s="13">
        <f>D946*INDEX(Multiplier_Lookup!$C$6:$C$9,MATCH(E946,Multiplier_Lookup!$B$6:$B$9,0))</f>
        <v>68594</v>
      </c>
      <c r="H946" s="2" t="str">
        <f t="shared" si="14"/>
        <v>Cisco|Sales Account Manager</v>
      </c>
    </row>
    <row r="947" spans="1:8" x14ac:dyDescent="0.35">
      <c r="A947" s="2" t="str">
        <f>Raw_Data!A947</f>
        <v>Cisco</v>
      </c>
      <c r="B947" s="2" t="str">
        <f>Raw_Data!C947</f>
        <v>Sales</v>
      </c>
      <c r="C947" s="2" t="str">
        <f>Raw_Data!D947</f>
        <v>Sales Representative</v>
      </c>
      <c r="D947" s="2">
        <f>Raw_Data!F947</f>
        <v>62337</v>
      </c>
      <c r="E947" s="2" t="str">
        <f>Raw_Data!H947</f>
        <v>YEARLY</v>
      </c>
      <c r="F947" s="2">
        <f>Raw_Data!I947</f>
        <v>6</v>
      </c>
      <c r="G947" s="13">
        <f>D947*INDEX(Multiplier_Lookup!$C$6:$C$9,MATCH(E947,Multiplier_Lookup!$B$6:$B$9,0))</f>
        <v>62337</v>
      </c>
      <c r="H947" s="2" t="str">
        <f t="shared" si="14"/>
        <v>Cisco|Sales Representative</v>
      </c>
    </row>
    <row r="948" spans="1:8" x14ac:dyDescent="0.35">
      <c r="A948" s="2" t="str">
        <f>Raw_Data!A948</f>
        <v>Cisco</v>
      </c>
      <c r="B948" s="2" t="str">
        <f>Raw_Data!C948</f>
        <v>Sales</v>
      </c>
      <c r="C948" s="2" t="str">
        <f>Raw_Data!D948</f>
        <v>Solutions Engineer</v>
      </c>
      <c r="D948" s="2">
        <f>Raw_Data!F948</f>
        <v>143611</v>
      </c>
      <c r="E948" s="2" t="str">
        <f>Raw_Data!H948</f>
        <v>YEARLY</v>
      </c>
      <c r="F948" s="2">
        <f>Raw_Data!I948</f>
        <v>10</v>
      </c>
      <c r="G948" s="13">
        <f>D948*INDEX(Multiplier_Lookup!$C$6:$C$9,MATCH(E948,Multiplier_Lookup!$B$6:$B$9,0))</f>
        <v>143611</v>
      </c>
      <c r="H948" s="2" t="str">
        <f t="shared" si="14"/>
        <v>Cisco|Solutions Engineer</v>
      </c>
    </row>
    <row r="949" spans="1:8" x14ac:dyDescent="0.35">
      <c r="A949" s="2" t="str">
        <f>Raw_Data!A949</f>
        <v>Cisco</v>
      </c>
      <c r="B949" s="2" t="str">
        <f>Raw_Data!C949</f>
        <v>Sales</v>
      </c>
      <c r="C949" s="2" t="str">
        <f>Raw_Data!D949</f>
        <v>Product Specialist</v>
      </c>
      <c r="D949" s="2">
        <f>Raw_Data!F949</f>
        <v>118714</v>
      </c>
      <c r="E949" s="2" t="str">
        <f>Raw_Data!H949</f>
        <v>YEARLY</v>
      </c>
      <c r="F949" s="2">
        <f>Raw_Data!I949</f>
        <v>9</v>
      </c>
      <c r="G949" s="13">
        <f>D949*INDEX(Multiplier_Lookup!$C$6:$C$9,MATCH(E949,Multiplier_Lookup!$B$6:$B$9,0))</f>
        <v>118714</v>
      </c>
      <c r="H949" s="2" t="str">
        <f t="shared" si="14"/>
        <v>Cisco|Product Specialist</v>
      </c>
    </row>
    <row r="950" spans="1:8" x14ac:dyDescent="0.35">
      <c r="A950" s="2" t="str">
        <f>Raw_Data!A950</f>
        <v>Cisco</v>
      </c>
      <c r="B950" s="2" t="str">
        <f>Raw_Data!C950</f>
        <v>Sales</v>
      </c>
      <c r="C950" s="2" t="str">
        <f>Raw_Data!D950</f>
        <v>Plan Manager</v>
      </c>
      <c r="D950" s="2">
        <f>Raw_Data!F950</f>
        <v>162688</v>
      </c>
      <c r="E950" s="2" t="str">
        <f>Raw_Data!H950</f>
        <v>YEARLY</v>
      </c>
      <c r="F950" s="2">
        <f>Raw_Data!I950</f>
        <v>6</v>
      </c>
      <c r="G950" s="13">
        <f>D950*INDEX(Multiplier_Lookup!$C$6:$C$9,MATCH(E950,Multiplier_Lookup!$B$6:$B$9,0))</f>
        <v>162688</v>
      </c>
      <c r="H950" s="2" t="str">
        <f t="shared" si="14"/>
        <v>Cisco|Plan Manager</v>
      </c>
    </row>
    <row r="951" spans="1:8" x14ac:dyDescent="0.35">
      <c r="A951" s="2" t="str">
        <f>Raw_Data!A951</f>
        <v>KFC</v>
      </c>
      <c r="B951" s="2" t="str">
        <f>Raw_Data!C951</f>
        <v>Customer Service</v>
      </c>
      <c r="C951" s="2" t="str">
        <f>Raw_Data!D951</f>
        <v>Customer Service Representative</v>
      </c>
      <c r="D951" s="2">
        <f>Raw_Data!F951</f>
        <v>12.27</v>
      </c>
      <c r="E951" s="2" t="str">
        <f>Raw_Data!H951</f>
        <v>HOURLY</v>
      </c>
      <c r="F951" s="2">
        <f>Raw_Data!I951</f>
        <v>196</v>
      </c>
      <c r="G951" s="13">
        <f>D951*INDEX(Multiplier_Lookup!$C$6:$C$9,MATCH(E951,Multiplier_Lookup!$B$6:$B$9,0))</f>
        <v>25521.599999999999</v>
      </c>
      <c r="H951" s="2" t="str">
        <f t="shared" si="14"/>
        <v>KFC|Customer Service Representative</v>
      </c>
    </row>
    <row r="952" spans="1:8" x14ac:dyDescent="0.35">
      <c r="A952" s="2" t="str">
        <f>Raw_Data!A952</f>
        <v>KFC</v>
      </c>
      <c r="B952" s="2" t="str">
        <f>Raw_Data!C952</f>
        <v>Customer Service</v>
      </c>
      <c r="C952" s="2" t="str">
        <f>Raw_Data!D952</f>
        <v>Lobby Attendant</v>
      </c>
      <c r="D952" s="2">
        <f>Raw_Data!F952</f>
        <v>7.25</v>
      </c>
      <c r="E952" s="2" t="str">
        <f>Raw_Data!H952</f>
        <v>HOURLY</v>
      </c>
      <c r="F952" s="2">
        <f>Raw_Data!I952</f>
        <v>1</v>
      </c>
      <c r="G952" s="13">
        <f>D952*INDEX(Multiplier_Lookup!$C$6:$C$9,MATCH(E952,Multiplier_Lookup!$B$6:$B$9,0))</f>
        <v>15080</v>
      </c>
      <c r="H952" s="2" t="str">
        <f t="shared" si="14"/>
        <v>KFC|Lobby Attendant</v>
      </c>
    </row>
    <row r="953" spans="1:8" x14ac:dyDescent="0.35">
      <c r="A953" s="2" t="str">
        <f>Raw_Data!A953</f>
        <v>KFC</v>
      </c>
      <c r="B953" s="2" t="str">
        <f>Raw_Data!C953</f>
        <v>Customer Service</v>
      </c>
      <c r="C953" s="2" t="str">
        <f>Raw_Data!D953</f>
        <v>Customer Experience Coordinator</v>
      </c>
      <c r="D953" s="2">
        <f>Raw_Data!F953</f>
        <v>19.489999999999998</v>
      </c>
      <c r="E953" s="2" t="str">
        <f>Raw_Data!H953</f>
        <v>HOURLY</v>
      </c>
      <c r="F953" s="2">
        <f>Raw_Data!I953</f>
        <v>1</v>
      </c>
      <c r="G953" s="13">
        <f>D953*INDEX(Multiplier_Lookup!$C$6:$C$9,MATCH(E953,Multiplier_Lookup!$B$6:$B$9,0))</f>
        <v>40539.199999999997</v>
      </c>
      <c r="H953" s="2" t="str">
        <f t="shared" si="14"/>
        <v>KFC|Customer Experience Coordinator</v>
      </c>
    </row>
    <row r="954" spans="1:8" x14ac:dyDescent="0.35">
      <c r="A954" s="2" t="str">
        <f>Raw_Data!A954</f>
        <v>KFC</v>
      </c>
      <c r="B954" s="2" t="str">
        <f>Raw_Data!C954</f>
        <v>Retail</v>
      </c>
      <c r="C954" s="2" t="str">
        <f>Raw_Data!D954</f>
        <v>Cashier</v>
      </c>
      <c r="D954" s="2">
        <f>Raw_Data!F954</f>
        <v>12.39</v>
      </c>
      <c r="E954" s="2" t="str">
        <f>Raw_Data!H954</f>
        <v>HOURLY</v>
      </c>
      <c r="F954" s="2">
        <f>Raw_Data!I954</f>
        <v>46</v>
      </c>
      <c r="G954" s="13">
        <f>D954*INDEX(Multiplier_Lookup!$C$6:$C$9,MATCH(E954,Multiplier_Lookup!$B$6:$B$9,0))</f>
        <v>25771.200000000001</v>
      </c>
      <c r="H954" s="2" t="str">
        <f t="shared" si="14"/>
        <v>KFC|Cashier</v>
      </c>
    </row>
    <row r="955" spans="1:8" x14ac:dyDescent="0.35">
      <c r="A955" s="2" t="str">
        <f>Raw_Data!A955</f>
        <v>KFC</v>
      </c>
      <c r="B955" s="2" t="str">
        <f>Raw_Data!C955</f>
        <v>Retail</v>
      </c>
      <c r="C955" s="2" t="str">
        <f>Raw_Data!D955</f>
        <v>Customer Service Associate / Cashier</v>
      </c>
      <c r="D955" s="2">
        <f>Raw_Data!F955</f>
        <v>11.5</v>
      </c>
      <c r="E955" s="2" t="str">
        <f>Raw_Data!H955</f>
        <v>HOURLY</v>
      </c>
      <c r="F955" s="2">
        <f>Raw_Data!I955</f>
        <v>12</v>
      </c>
      <c r="G955" s="13">
        <f>D955*INDEX(Multiplier_Lookup!$C$6:$C$9,MATCH(E955,Multiplier_Lookup!$B$6:$B$9,0))</f>
        <v>23920</v>
      </c>
      <c r="H955" s="2" t="str">
        <f t="shared" si="14"/>
        <v>KFC|Customer Service Associate / Cashier</v>
      </c>
    </row>
    <row r="956" spans="1:8" x14ac:dyDescent="0.35">
      <c r="A956" s="2" t="str">
        <f>Raw_Data!A956</f>
        <v>KFC</v>
      </c>
      <c r="B956" s="2" t="str">
        <f>Raw_Data!C956</f>
        <v>Retail</v>
      </c>
      <c r="C956" s="2" t="str">
        <f>Raw_Data!D956</f>
        <v>Store Manager</v>
      </c>
      <c r="D956" s="2">
        <f>Raw_Data!F956</f>
        <v>48727</v>
      </c>
      <c r="E956" s="2" t="str">
        <f>Raw_Data!H956</f>
        <v>YEARLY</v>
      </c>
      <c r="F956" s="2">
        <f>Raw_Data!I956</f>
        <v>11</v>
      </c>
      <c r="G956" s="13">
        <f>D956*INDEX(Multiplier_Lookup!$C$6:$C$9,MATCH(E956,Multiplier_Lookup!$B$6:$B$9,0))</f>
        <v>48727</v>
      </c>
      <c r="H956" s="2" t="str">
        <f t="shared" si="14"/>
        <v>KFC|Store Manager</v>
      </c>
    </row>
    <row r="957" spans="1:8" x14ac:dyDescent="0.35">
      <c r="A957" s="2" t="str">
        <f>Raw_Data!A957</f>
        <v>KFC</v>
      </c>
      <c r="B957" s="2" t="str">
        <f>Raw_Data!C957</f>
        <v>Retail</v>
      </c>
      <c r="C957" s="2" t="str">
        <f>Raw_Data!D957</f>
        <v>Assistant Store Manager</v>
      </c>
      <c r="D957" s="2">
        <f>Raw_Data!F957</f>
        <v>15.97</v>
      </c>
      <c r="E957" s="2" t="str">
        <f>Raw_Data!H957</f>
        <v>HOURLY</v>
      </c>
      <c r="F957" s="2">
        <f>Raw_Data!I957</f>
        <v>4</v>
      </c>
      <c r="G957" s="13">
        <f>D957*INDEX(Multiplier_Lookup!$C$6:$C$9,MATCH(E957,Multiplier_Lookup!$B$6:$B$9,0))</f>
        <v>33217.599999999999</v>
      </c>
      <c r="H957" s="2" t="str">
        <f t="shared" si="14"/>
        <v>KFC|Assistant Store Manager</v>
      </c>
    </row>
    <row r="958" spans="1:8" x14ac:dyDescent="0.35">
      <c r="A958" s="2" t="str">
        <f>Raw_Data!A958</f>
        <v>KFC</v>
      </c>
      <c r="B958" s="2" t="str">
        <f>Raw_Data!C958</f>
        <v>Retail</v>
      </c>
      <c r="C958" s="2" t="str">
        <f>Raw_Data!D958</f>
        <v>Lead Team Member</v>
      </c>
      <c r="D958" s="2">
        <f>Raw_Data!F958</f>
        <v>12.6</v>
      </c>
      <c r="E958" s="2" t="str">
        <f>Raw_Data!H958</f>
        <v>HOURLY</v>
      </c>
      <c r="F958" s="2">
        <f>Raw_Data!I958</f>
        <v>2</v>
      </c>
      <c r="G958" s="13">
        <f>D958*INDEX(Multiplier_Lookup!$C$6:$C$9,MATCH(E958,Multiplier_Lookup!$B$6:$B$9,0))</f>
        <v>26208</v>
      </c>
      <c r="H958" s="2" t="str">
        <f t="shared" si="14"/>
        <v>KFC|Lead Team Member</v>
      </c>
    </row>
    <row r="959" spans="1:8" x14ac:dyDescent="0.35">
      <c r="A959" s="2" t="str">
        <f>Raw_Data!A959</f>
        <v>KFC</v>
      </c>
      <c r="B959" s="2" t="str">
        <f>Raw_Data!C959</f>
        <v>Installation &amp; Maintenance</v>
      </c>
      <c r="C959" s="2" t="str">
        <f>Raw_Data!D959</f>
        <v>Utility Worker</v>
      </c>
      <c r="D959" s="2">
        <f>Raw_Data!F959</f>
        <v>13.73</v>
      </c>
      <c r="E959" s="2" t="str">
        <f>Raw_Data!H959</f>
        <v>HOURLY</v>
      </c>
      <c r="F959" s="2">
        <f>Raw_Data!I959</f>
        <v>40</v>
      </c>
      <c r="G959" s="13">
        <f>D959*INDEX(Multiplier_Lookup!$C$6:$C$9,MATCH(E959,Multiplier_Lookup!$B$6:$B$9,0))</f>
        <v>28558.400000000001</v>
      </c>
      <c r="H959" s="2" t="str">
        <f t="shared" si="14"/>
        <v>KFC|Utility Worker</v>
      </c>
    </row>
    <row r="960" spans="1:8" x14ac:dyDescent="0.35">
      <c r="A960" s="2" t="str">
        <f>Raw_Data!A960</f>
        <v>KFC</v>
      </c>
      <c r="B960" s="2" t="str">
        <f>Raw_Data!C960</f>
        <v>Installation &amp; Maintenance</v>
      </c>
      <c r="C960" s="2" t="str">
        <f>Raw_Data!D960</f>
        <v>Maintenance Technician</v>
      </c>
      <c r="D960" s="2">
        <f>Raw_Data!F960</f>
        <v>25.54</v>
      </c>
      <c r="E960" s="2" t="str">
        <f>Raw_Data!H960</f>
        <v>HOURLY</v>
      </c>
      <c r="F960" s="2">
        <f>Raw_Data!I960</f>
        <v>6</v>
      </c>
      <c r="G960" s="13">
        <f>D960*INDEX(Multiplier_Lookup!$C$6:$C$9,MATCH(E960,Multiplier_Lookup!$B$6:$B$9,0))</f>
        <v>53123.199999999997</v>
      </c>
      <c r="H960" s="2" t="str">
        <f t="shared" si="14"/>
        <v>KFC|Maintenance Technician</v>
      </c>
    </row>
    <row r="961" spans="1:8" x14ac:dyDescent="0.35">
      <c r="A961" s="2" t="str">
        <f>Raw_Data!A961</f>
        <v>TJ Maxx</v>
      </c>
      <c r="B961" s="2" t="str">
        <f>Raw_Data!C961</f>
        <v>Security &amp; Public Safety</v>
      </c>
      <c r="C961" s="2" t="str">
        <f>Raw_Data!D961</f>
        <v>Loss Prevention Director</v>
      </c>
      <c r="D961" s="2">
        <f>Raw_Data!F961</f>
        <v>20.29</v>
      </c>
      <c r="E961" s="2" t="str">
        <f>Raw_Data!H961</f>
        <v>HOURLY</v>
      </c>
      <c r="F961" s="2">
        <f>Raw_Data!I961</f>
        <v>18</v>
      </c>
      <c r="G961" s="13">
        <f>D961*INDEX(Multiplier_Lookup!$C$6:$C$9,MATCH(E961,Multiplier_Lookup!$B$6:$B$9,0))</f>
        <v>42203.199999999997</v>
      </c>
      <c r="H961" s="2" t="str">
        <f t="shared" si="14"/>
        <v>TJ Maxx|Loss Prevention Director</v>
      </c>
    </row>
    <row r="962" spans="1:8" x14ac:dyDescent="0.35">
      <c r="A962" s="2" t="str">
        <f>Raw_Data!A962</f>
        <v>TJ Maxx</v>
      </c>
      <c r="B962" s="2" t="str">
        <f>Raw_Data!C962</f>
        <v>Security &amp; Public Safety</v>
      </c>
      <c r="C962" s="2" t="str">
        <f>Raw_Data!D962</f>
        <v>Security Guard</v>
      </c>
      <c r="D962" s="2">
        <f>Raw_Data!F962</f>
        <v>16.57</v>
      </c>
      <c r="E962" s="2" t="str">
        <f>Raw_Data!H962</f>
        <v>HOURLY</v>
      </c>
      <c r="F962" s="2">
        <f>Raw_Data!I962</f>
        <v>5</v>
      </c>
      <c r="G962" s="13">
        <f>D962*INDEX(Multiplier_Lookup!$C$6:$C$9,MATCH(E962,Multiplier_Lookup!$B$6:$B$9,0))</f>
        <v>34465.599999999999</v>
      </c>
      <c r="H962" s="2" t="str">
        <f t="shared" ref="H962:H980" si="15">A962&amp;"|"&amp;C962</f>
        <v>TJ Maxx|Security Guard</v>
      </c>
    </row>
    <row r="963" spans="1:8" x14ac:dyDescent="0.35">
      <c r="A963" s="2" t="str">
        <f>Raw_Data!A963</f>
        <v>TJ Maxx</v>
      </c>
      <c r="B963" s="2" t="str">
        <f>Raw_Data!C963</f>
        <v>Security &amp; Public Safety</v>
      </c>
      <c r="C963" s="2" t="str">
        <f>Raw_Data!D963</f>
        <v>Marshal</v>
      </c>
      <c r="D963" s="2">
        <f>Raw_Data!F963</f>
        <v>15.17</v>
      </c>
      <c r="E963" s="2" t="str">
        <f>Raw_Data!H963</f>
        <v>HOURLY</v>
      </c>
      <c r="F963" s="2">
        <f>Raw_Data!I963</f>
        <v>7</v>
      </c>
      <c r="G963" s="13">
        <f>D963*INDEX(Multiplier_Lookup!$C$6:$C$9,MATCH(E963,Multiplier_Lookup!$B$6:$B$9,0))</f>
        <v>31553.599999999999</v>
      </c>
      <c r="H963" s="2" t="str">
        <f t="shared" si="15"/>
        <v>TJ Maxx|Marshal</v>
      </c>
    </row>
    <row r="964" spans="1:8" x14ac:dyDescent="0.35">
      <c r="A964" s="2" t="str">
        <f>Raw_Data!A964</f>
        <v>TJ Maxx</v>
      </c>
      <c r="B964" s="2" t="str">
        <f>Raw_Data!C964</f>
        <v>Security &amp; Public Safety</v>
      </c>
      <c r="C964" s="2" t="str">
        <f>Raw_Data!D964</f>
        <v>Loss Prevention Officer</v>
      </c>
      <c r="D964" s="2">
        <f>Raw_Data!F964</f>
        <v>17.510000000000002</v>
      </c>
      <c r="E964" s="2" t="str">
        <f>Raw_Data!H964</f>
        <v>HOURLY</v>
      </c>
      <c r="F964" s="2">
        <f>Raw_Data!I964</f>
        <v>6</v>
      </c>
      <c r="G964" s="13">
        <f>D964*INDEX(Multiplier_Lookup!$C$6:$C$9,MATCH(E964,Multiplier_Lookup!$B$6:$B$9,0))</f>
        <v>36420.800000000003</v>
      </c>
      <c r="H964" s="2" t="str">
        <f t="shared" si="15"/>
        <v>TJ Maxx|Loss Prevention Officer</v>
      </c>
    </row>
    <row r="965" spans="1:8" x14ac:dyDescent="0.35">
      <c r="A965" s="2" t="str">
        <f>Raw_Data!A965</f>
        <v>TJ Maxx</v>
      </c>
      <c r="B965" s="2" t="str">
        <f>Raw_Data!C965</f>
        <v>Sales</v>
      </c>
      <c r="C965" s="2" t="str">
        <f>Raw_Data!D965</f>
        <v>Sales Associate</v>
      </c>
      <c r="D965" s="2">
        <f>Raw_Data!F965</f>
        <v>12.62</v>
      </c>
      <c r="E965" s="2" t="str">
        <f>Raw_Data!H965</f>
        <v>HOURLY</v>
      </c>
      <c r="F965" s="2">
        <f>Raw_Data!I965</f>
        <v>26</v>
      </c>
      <c r="G965" s="13">
        <f>D965*INDEX(Multiplier_Lookup!$C$6:$C$9,MATCH(E965,Multiplier_Lookup!$B$6:$B$9,0))</f>
        <v>26249.599999999999</v>
      </c>
      <c r="H965" s="2" t="str">
        <f t="shared" si="15"/>
        <v>TJ Maxx|Sales Associate</v>
      </c>
    </row>
    <row r="966" spans="1:8" x14ac:dyDescent="0.35">
      <c r="A966" s="2" t="str">
        <f>Raw_Data!A966</f>
        <v>TJ Maxx</v>
      </c>
      <c r="B966" s="2" t="str">
        <f>Raw_Data!C966</f>
        <v>Sales</v>
      </c>
      <c r="C966" s="2" t="str">
        <f>Raw_Data!D966</f>
        <v>Sales Manager</v>
      </c>
      <c r="D966" s="2">
        <f>Raw_Data!F966</f>
        <v>37839</v>
      </c>
      <c r="E966" s="2" t="str">
        <f>Raw_Data!H966</f>
        <v>YEARLY</v>
      </c>
      <c r="F966" s="2">
        <f>Raw_Data!I966</f>
        <v>2</v>
      </c>
      <c r="G966" s="13">
        <f>D966*INDEX(Multiplier_Lookup!$C$6:$C$9,MATCH(E966,Multiplier_Lookup!$B$6:$B$9,0))</f>
        <v>37839</v>
      </c>
      <c r="H966" s="2" t="str">
        <f t="shared" si="15"/>
        <v>TJ Maxx|Sales Manager</v>
      </c>
    </row>
    <row r="967" spans="1:8" x14ac:dyDescent="0.35">
      <c r="A967" s="2" t="str">
        <f>Raw_Data!A967</f>
        <v>TJ Maxx</v>
      </c>
      <c r="B967" s="2" t="str">
        <f>Raw_Data!C967</f>
        <v>Sales</v>
      </c>
      <c r="C967" s="2" t="str">
        <f>Raw_Data!D967</f>
        <v>Promoter</v>
      </c>
      <c r="D967" s="2">
        <f>Raw_Data!F967</f>
        <v>12</v>
      </c>
      <c r="E967" s="2" t="str">
        <f>Raw_Data!H967</f>
        <v>HOURLY</v>
      </c>
      <c r="F967" s="2">
        <f>Raw_Data!I967</f>
        <v>1</v>
      </c>
      <c r="G967" s="13">
        <f>D967*INDEX(Multiplier_Lookup!$C$6:$C$9,MATCH(E967,Multiplier_Lookup!$B$6:$B$9,0))</f>
        <v>24960</v>
      </c>
      <c r="H967" s="2" t="str">
        <f t="shared" si="15"/>
        <v>TJ Maxx|Promoter</v>
      </c>
    </row>
    <row r="968" spans="1:8" x14ac:dyDescent="0.35">
      <c r="A968" s="2" t="str">
        <f>Raw_Data!A968</f>
        <v>TJ Maxx</v>
      </c>
      <c r="B968" s="2" t="str">
        <f>Raw_Data!C968</f>
        <v>Loading and Stocking</v>
      </c>
      <c r="C968" s="2" t="str">
        <f>Raw_Data!D968</f>
        <v>Warehouse Worker</v>
      </c>
      <c r="D968" s="2">
        <f>Raw_Data!F968</f>
        <v>16.72</v>
      </c>
      <c r="E968" s="2" t="str">
        <f>Raw_Data!H968</f>
        <v>HOURLY</v>
      </c>
      <c r="F968" s="2">
        <f>Raw_Data!I968</f>
        <v>9</v>
      </c>
      <c r="G968" s="13">
        <f>D968*INDEX(Multiplier_Lookup!$C$6:$C$9,MATCH(E968,Multiplier_Lookup!$B$6:$B$9,0))</f>
        <v>34777.599999999999</v>
      </c>
      <c r="H968" s="2" t="str">
        <f t="shared" si="15"/>
        <v>TJ Maxx|Warehouse Worker</v>
      </c>
    </row>
    <row r="969" spans="1:8" x14ac:dyDescent="0.35">
      <c r="A969" s="2" t="str">
        <f>Raw_Data!A969</f>
        <v>TJ Maxx</v>
      </c>
      <c r="B969" s="2" t="str">
        <f>Raw_Data!C969</f>
        <v>Loading and Stocking</v>
      </c>
      <c r="C969" s="2" t="str">
        <f>Raw_Data!D969</f>
        <v>Stocker</v>
      </c>
      <c r="D969" s="2">
        <f>Raw_Data!F969</f>
        <v>12</v>
      </c>
      <c r="E969" s="2" t="str">
        <f>Raw_Data!H969</f>
        <v>HOURLY</v>
      </c>
      <c r="F969" s="2">
        <f>Raw_Data!I969</f>
        <v>6</v>
      </c>
      <c r="G969" s="13">
        <f>D969*INDEX(Multiplier_Lookup!$C$6:$C$9,MATCH(E969,Multiplier_Lookup!$B$6:$B$9,0))</f>
        <v>24960</v>
      </c>
      <c r="H969" s="2" t="str">
        <f t="shared" si="15"/>
        <v>TJ Maxx|Stocker</v>
      </c>
    </row>
    <row r="970" spans="1:8" x14ac:dyDescent="0.35">
      <c r="A970" s="2" t="str">
        <f>Raw_Data!A970</f>
        <v>TJ Maxx</v>
      </c>
      <c r="B970" s="2" t="str">
        <f>Raw_Data!C970</f>
        <v>Loading and Stocking</v>
      </c>
      <c r="C970" s="2" t="str">
        <f>Raw_Data!D970</f>
        <v>Shipping and Receiving Clerk</v>
      </c>
      <c r="D970" s="2">
        <f>Raw_Data!F970</f>
        <v>31938</v>
      </c>
      <c r="E970" s="2" t="str">
        <f>Raw_Data!H970</f>
        <v>YEARLY</v>
      </c>
      <c r="F970" s="2">
        <f>Raw_Data!I970</f>
        <v>1</v>
      </c>
      <c r="G970" s="13">
        <f>D970*INDEX(Multiplier_Lookup!$C$6:$C$9,MATCH(E970,Multiplier_Lookup!$B$6:$B$9,0))</f>
        <v>31938</v>
      </c>
      <c r="H970" s="2" t="str">
        <f t="shared" si="15"/>
        <v>TJ Maxx|Shipping and Receiving Clerk</v>
      </c>
    </row>
    <row r="971" spans="1:8" x14ac:dyDescent="0.35">
      <c r="A971" s="2" t="str">
        <f>Raw_Data!A971</f>
        <v>Ross Dress For Less</v>
      </c>
      <c r="B971" s="2" t="str">
        <f>Raw_Data!C971</f>
        <v>Security &amp; Public Safety</v>
      </c>
      <c r="C971" s="2" t="str">
        <f>Raw_Data!D971</f>
        <v>Loss Prevention Director</v>
      </c>
      <c r="D971" s="2">
        <f>Raw_Data!F971</f>
        <v>15.12</v>
      </c>
      <c r="E971" s="2" t="str">
        <f>Raw_Data!H971</f>
        <v>HOURLY</v>
      </c>
      <c r="F971" s="2">
        <f>Raw_Data!I971</f>
        <v>21</v>
      </c>
      <c r="G971" s="13">
        <f>D971*INDEX(Multiplier_Lookup!$C$6:$C$9,MATCH(E971,Multiplier_Lookup!$B$6:$B$9,0))</f>
        <v>31449.599999999999</v>
      </c>
      <c r="H971" s="2" t="str">
        <f t="shared" si="15"/>
        <v>Ross Dress For Less|Loss Prevention Director</v>
      </c>
    </row>
    <row r="972" spans="1:8" x14ac:dyDescent="0.35">
      <c r="A972" s="2" t="str">
        <f>Raw_Data!A972</f>
        <v>Ross Dress For Less</v>
      </c>
      <c r="B972" s="2" t="str">
        <f>Raw_Data!C972</f>
        <v>Security &amp; Public Safety</v>
      </c>
      <c r="C972" s="2" t="str">
        <f>Raw_Data!D972</f>
        <v>Loss Prevention Officer</v>
      </c>
      <c r="D972" s="2">
        <f>Raw_Data!F972</f>
        <v>16.04</v>
      </c>
      <c r="E972" s="2" t="str">
        <f>Raw_Data!H972</f>
        <v>HOURLY</v>
      </c>
      <c r="F972" s="2">
        <f>Raw_Data!I972</f>
        <v>26</v>
      </c>
      <c r="G972" s="13">
        <f>D972*INDEX(Multiplier_Lookup!$C$6:$C$9,MATCH(E972,Multiplier_Lookup!$B$6:$B$9,0))</f>
        <v>33363.199999999997</v>
      </c>
      <c r="H972" s="2" t="str">
        <f t="shared" si="15"/>
        <v>Ross Dress For Less|Loss Prevention Officer</v>
      </c>
    </row>
    <row r="973" spans="1:8" x14ac:dyDescent="0.35">
      <c r="A973" s="2" t="str">
        <f>Raw_Data!A973</f>
        <v>Ross Dress For Less</v>
      </c>
      <c r="B973" s="2" t="str">
        <f>Raw_Data!C973</f>
        <v>Security &amp; Public Safety</v>
      </c>
      <c r="C973" s="2" t="str">
        <f>Raw_Data!D973</f>
        <v>Asset Protection Specialist</v>
      </c>
      <c r="D973" s="2">
        <f>Raw_Data!F973</f>
        <v>18.309999999999999</v>
      </c>
      <c r="E973" s="2" t="str">
        <f>Raw_Data!H973</f>
        <v>HOURLY</v>
      </c>
      <c r="F973" s="2">
        <f>Raw_Data!I973</f>
        <v>6</v>
      </c>
      <c r="G973" s="13">
        <f>D973*INDEX(Multiplier_Lookup!$C$6:$C$9,MATCH(E973,Multiplier_Lookup!$B$6:$B$9,0))</f>
        <v>38084.799999999996</v>
      </c>
      <c r="H973" s="2" t="str">
        <f t="shared" si="15"/>
        <v>Ross Dress For Less|Asset Protection Specialist</v>
      </c>
    </row>
    <row r="974" spans="1:8" x14ac:dyDescent="0.35">
      <c r="A974" s="2" t="str">
        <f>Raw_Data!A974</f>
        <v>Ross Dress For Less</v>
      </c>
      <c r="B974" s="2" t="str">
        <f>Raw_Data!C974</f>
        <v>Security &amp; Public Safety</v>
      </c>
      <c r="C974" s="2" t="str">
        <f>Raw_Data!D974</f>
        <v>Protection Specialist</v>
      </c>
      <c r="D974" s="2">
        <f>Raw_Data!F974</f>
        <v>11.64</v>
      </c>
      <c r="E974" s="2" t="str">
        <f>Raw_Data!H974</f>
        <v>HOURLY</v>
      </c>
      <c r="F974" s="2">
        <f>Raw_Data!I974</f>
        <v>10</v>
      </c>
      <c r="G974" s="13">
        <f>D974*INDEX(Multiplier_Lookup!$C$6:$C$9,MATCH(E974,Multiplier_Lookup!$B$6:$B$9,0))</f>
        <v>24211.200000000001</v>
      </c>
      <c r="H974" s="2" t="str">
        <f t="shared" si="15"/>
        <v>Ross Dress For Less|Protection Specialist</v>
      </c>
    </row>
    <row r="975" spans="1:8" x14ac:dyDescent="0.35">
      <c r="A975" s="2" t="str">
        <f>Raw_Data!A975</f>
        <v>Ross Dress For Less</v>
      </c>
      <c r="B975" s="2" t="str">
        <f>Raw_Data!C975</f>
        <v>Security &amp; Public Safety</v>
      </c>
      <c r="C975" s="2" t="str">
        <f>Raw_Data!D975</f>
        <v>Security Specialist</v>
      </c>
      <c r="D975" s="2">
        <f>Raw_Data!F975</f>
        <v>15.8</v>
      </c>
      <c r="E975" s="2" t="str">
        <f>Raw_Data!H975</f>
        <v>HOURLY</v>
      </c>
      <c r="F975" s="2">
        <f>Raw_Data!I975</f>
        <v>20</v>
      </c>
      <c r="G975" s="13">
        <f>D975*INDEX(Multiplier_Lookup!$C$6:$C$9,MATCH(E975,Multiplier_Lookup!$B$6:$B$9,0))</f>
        <v>32864</v>
      </c>
      <c r="H975" s="2" t="str">
        <f t="shared" si="15"/>
        <v>Ross Dress For Less|Security Specialist</v>
      </c>
    </row>
    <row r="976" spans="1:8" x14ac:dyDescent="0.35">
      <c r="A976" s="2" t="str">
        <f>Raw_Data!A976</f>
        <v>Ross Dress For Less</v>
      </c>
      <c r="B976" s="2" t="str">
        <f>Raw_Data!C976</f>
        <v>Security &amp; Public Safety</v>
      </c>
      <c r="C976" s="2" t="str">
        <f>Raw_Data!D976</f>
        <v>Security Guard</v>
      </c>
      <c r="D976" s="2">
        <f>Raw_Data!F976</f>
        <v>17.96</v>
      </c>
      <c r="E976" s="2" t="str">
        <f>Raw_Data!H976</f>
        <v>HOURLY</v>
      </c>
      <c r="F976" s="2">
        <f>Raw_Data!I976</f>
        <v>5</v>
      </c>
      <c r="G976" s="13">
        <f>D976*INDEX(Multiplier_Lookup!$C$6:$C$9,MATCH(E976,Multiplier_Lookup!$B$6:$B$9,0))</f>
        <v>37356.800000000003</v>
      </c>
      <c r="H976" s="2" t="str">
        <f t="shared" si="15"/>
        <v>Ross Dress For Less|Security Guard</v>
      </c>
    </row>
    <row r="977" spans="1:8" x14ac:dyDescent="0.35">
      <c r="A977" s="2" t="str">
        <f>Raw_Data!A977</f>
        <v>Ross Dress For Less</v>
      </c>
      <c r="B977" s="2" t="str">
        <f>Raw_Data!C977</f>
        <v>Security &amp; Public Safety</v>
      </c>
      <c r="C977" s="2" t="str">
        <f>Raw_Data!D977</f>
        <v>Night Watch Staff</v>
      </c>
      <c r="D977" s="2">
        <f>Raw_Data!F977</f>
        <v>13.39</v>
      </c>
      <c r="E977" s="2" t="str">
        <f>Raw_Data!H977</f>
        <v>HOURLY</v>
      </c>
      <c r="F977" s="2">
        <f>Raw_Data!I977</f>
        <v>8</v>
      </c>
      <c r="G977" s="13">
        <f>D977*INDEX(Multiplier_Lookup!$C$6:$C$9,MATCH(E977,Multiplier_Lookup!$B$6:$B$9,0))</f>
        <v>27851.200000000001</v>
      </c>
      <c r="H977" s="2" t="str">
        <f t="shared" si="15"/>
        <v>Ross Dress For Less|Night Watch Staff</v>
      </c>
    </row>
    <row r="978" spans="1:8" x14ac:dyDescent="0.35">
      <c r="A978" s="2" t="str">
        <f>Raw_Data!A978</f>
        <v>Ross Dress For Less</v>
      </c>
      <c r="B978" s="2" t="str">
        <f>Raw_Data!C978</f>
        <v>Security &amp; Public Safety</v>
      </c>
      <c r="C978" s="2" t="str">
        <f>Raw_Data!D978</f>
        <v>Security Officer</v>
      </c>
      <c r="D978" s="2">
        <f>Raw_Data!F978</f>
        <v>14.85</v>
      </c>
      <c r="E978" s="2" t="str">
        <f>Raw_Data!H978</f>
        <v>HOURLY</v>
      </c>
      <c r="F978" s="2">
        <f>Raw_Data!I978</f>
        <v>5</v>
      </c>
      <c r="G978" s="13">
        <f>D978*INDEX(Multiplier_Lookup!$C$6:$C$9,MATCH(E978,Multiplier_Lookup!$B$6:$B$9,0))</f>
        <v>30888</v>
      </c>
      <c r="H978" s="2" t="str">
        <f t="shared" si="15"/>
        <v>Ross Dress For Less|Security Officer</v>
      </c>
    </row>
    <row r="979" spans="1:8" x14ac:dyDescent="0.35">
      <c r="A979" s="2" t="str">
        <f>Raw_Data!A979</f>
        <v>Ross Dress For Less</v>
      </c>
      <c r="B979" s="2" t="str">
        <f>Raw_Data!C979</f>
        <v>Security &amp; Public Safety</v>
      </c>
      <c r="C979" s="2" t="str">
        <f>Raw_Data!D979</f>
        <v>Loss Prevention Manager</v>
      </c>
      <c r="D979" s="2">
        <f>Raw_Data!F979</f>
        <v>72768</v>
      </c>
      <c r="E979" s="2" t="str">
        <f>Raw_Data!H979</f>
        <v>YEARLY</v>
      </c>
      <c r="F979" s="2">
        <f>Raw_Data!I979</f>
        <v>2</v>
      </c>
      <c r="G979" s="13">
        <f>D979*INDEX(Multiplier_Lookup!$C$6:$C$9,MATCH(E979,Multiplier_Lookup!$B$6:$B$9,0))</f>
        <v>72768</v>
      </c>
      <c r="H979" s="2" t="str">
        <f t="shared" si="15"/>
        <v>Ross Dress For Less|Loss Prevention Manager</v>
      </c>
    </row>
    <row r="980" spans="1:8" x14ac:dyDescent="0.35">
      <c r="A980" s="2" t="str">
        <f>Raw_Data!A980</f>
        <v>Ross Dress For Less</v>
      </c>
      <c r="B980" s="2" t="str">
        <f>Raw_Data!C980</f>
        <v>Loading and Stocking</v>
      </c>
      <c r="C980" s="2" t="str">
        <f>Raw_Data!D980</f>
        <v>Stocker</v>
      </c>
      <c r="D980" s="2">
        <f>Raw_Data!F980</f>
        <v>12.3</v>
      </c>
      <c r="E980" s="2" t="str">
        <f>Raw_Data!H980</f>
        <v>HOURLY</v>
      </c>
      <c r="F980" s="2">
        <f>Raw_Data!I980</f>
        <v>30</v>
      </c>
      <c r="G980" s="13">
        <f>D980*INDEX(Multiplier_Lookup!$C$6:$C$9,MATCH(E980,Multiplier_Lookup!$B$6:$B$9,0))</f>
        <v>25584</v>
      </c>
      <c r="H980" s="2" t="str">
        <f t="shared" si="15"/>
        <v>Ross Dress For Less|Stocker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C28"/>
  <sheetViews>
    <sheetView showGridLines="0" topLeftCell="A23" zoomScaleNormal="100" workbookViewId="0">
      <selection activeCell="C27" sqref="C27"/>
    </sheetView>
  </sheetViews>
  <sheetFormatPr defaultColWidth="8.6328125" defaultRowHeight="14.5" x14ac:dyDescent="0.35"/>
  <cols>
    <col min="1" max="1" width="2" customWidth="1"/>
    <col min="2" max="2" width="52.08984375" customWidth="1"/>
    <col min="3" max="3" width="34" customWidth="1"/>
  </cols>
  <sheetData>
    <row r="2" spans="2:3" ht="20" x14ac:dyDescent="0.4">
      <c r="B2" s="4" t="s">
        <v>3130</v>
      </c>
    </row>
    <row r="3" spans="2:3" x14ac:dyDescent="0.35">
      <c r="B3" s="5" t="s">
        <v>3129</v>
      </c>
    </row>
    <row r="5" spans="2:3" ht="16.5" x14ac:dyDescent="0.35">
      <c r="B5" s="7" t="s">
        <v>2963</v>
      </c>
    </row>
    <row r="7" spans="2:3" x14ac:dyDescent="0.35">
      <c r="B7" s="6" t="s">
        <v>2964</v>
      </c>
      <c r="C7" s="14" t="s">
        <v>1886</v>
      </c>
    </row>
    <row r="8" spans="2:3" x14ac:dyDescent="0.35">
      <c r="B8" s="6" t="s">
        <v>2965</v>
      </c>
      <c r="C8" s="14" t="s">
        <v>255</v>
      </c>
    </row>
    <row r="10" spans="2:3" x14ac:dyDescent="0.35">
      <c r="B10" s="6" t="s">
        <v>2966</v>
      </c>
      <c r="C10" s="10" t="str">
        <f>C7&amp;"|"&amp;C8</f>
        <v>7-Eleven|Assistant Manager</v>
      </c>
    </row>
    <row r="12" spans="2:3" x14ac:dyDescent="0.35">
      <c r="B12" s="6" t="s">
        <v>2967</v>
      </c>
      <c r="C12" s="10" t="str">
        <f>IFERROR(INDEX(Cleaned_Data!B:B,MATCH(C10,Cleaned_Data!H:H,0)),"No exact match - check spelling")</f>
        <v>Management</v>
      </c>
    </row>
    <row r="13" spans="2:3" x14ac:dyDescent="0.35">
      <c r="B13" s="6" t="s">
        <v>2968</v>
      </c>
      <c r="C13" s="15">
        <f>IFERROR(INDEX(Cleaned_Data!G:G,MATCH(C10,Cleaned_Data!H:H,0)),"No exact match - check spelling")</f>
        <v>36275.200000000004</v>
      </c>
    </row>
    <row r="16" spans="2:3" ht="16.5" x14ac:dyDescent="0.35">
      <c r="B16" s="7" t="s">
        <v>2969</v>
      </c>
    </row>
    <row r="18" spans="2:3" x14ac:dyDescent="0.35">
      <c r="B18" s="6" t="s">
        <v>2964</v>
      </c>
      <c r="C18" s="14" t="s">
        <v>1886</v>
      </c>
    </row>
    <row r="20" spans="2:3" x14ac:dyDescent="0.35">
      <c r="B20" s="6" t="s">
        <v>2970</v>
      </c>
      <c r="C20" s="10" t="str">
        <f>IFERROR(VLOOKUP(C18,Raw_Data!$A:$K,4,FALSE()),"Not found")</f>
        <v>Assistant Manager</v>
      </c>
    </row>
    <row r="21" spans="2:3" x14ac:dyDescent="0.35">
      <c r="B21" s="6" t="s">
        <v>2971</v>
      </c>
      <c r="C21" s="10" t="str">
        <f>IFERROR(VLOOKUP(C18,Raw_Data!$A:$K,3,FALSE()),"Not found")</f>
        <v>Management</v>
      </c>
    </row>
    <row r="22" spans="2:3" x14ac:dyDescent="0.35">
      <c r="B22" s="1"/>
    </row>
    <row r="25" spans="2:3" ht="16.5" x14ac:dyDescent="0.35">
      <c r="B25" s="7" t="s">
        <v>2972</v>
      </c>
    </row>
    <row r="27" spans="2:3" x14ac:dyDescent="0.35">
      <c r="B27" s="6" t="s">
        <v>2973</v>
      </c>
      <c r="C27" s="14" t="s">
        <v>43</v>
      </c>
    </row>
    <row r="28" spans="2:3" x14ac:dyDescent="0.35">
      <c r="B28" s="6" t="s">
        <v>2974</v>
      </c>
      <c r="C28" s="10">
        <f>HLOOKUP(C27,Multiplier_Lookup!$C$13:$F$14,2,FALSE())</f>
        <v>2080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G137"/>
  <sheetViews>
    <sheetView showGridLines="0" zoomScaleNormal="100" workbookViewId="0">
      <selection activeCell="D8" sqref="D8"/>
    </sheetView>
  </sheetViews>
  <sheetFormatPr defaultColWidth="8.6328125" defaultRowHeight="14.5" x14ac:dyDescent="0.35"/>
  <cols>
    <col min="1" max="1" width="2" customWidth="1"/>
    <col min="2" max="2" width="30" customWidth="1"/>
    <col min="3" max="3" width="13" customWidth="1"/>
    <col min="4" max="6" width="16" customWidth="1"/>
    <col min="7" max="7" width="18" customWidth="1"/>
  </cols>
  <sheetData>
    <row r="2" spans="2:7" ht="20" x14ac:dyDescent="0.4">
      <c r="B2" s="4" t="s">
        <v>2975</v>
      </c>
    </row>
    <row r="3" spans="2:7" x14ac:dyDescent="0.35">
      <c r="B3" s="5" t="s">
        <v>2976</v>
      </c>
    </row>
    <row r="5" spans="2:7" ht="16.5" x14ac:dyDescent="0.35">
      <c r="B5" s="7" t="s">
        <v>2977</v>
      </c>
    </row>
    <row r="6" spans="2:7" ht="28" x14ac:dyDescent="0.35">
      <c r="B6" s="9" t="s">
        <v>2956</v>
      </c>
      <c r="C6" s="9" t="s">
        <v>2978</v>
      </c>
      <c r="D6" s="9" t="s">
        <v>2979</v>
      </c>
      <c r="E6" s="9" t="s">
        <v>2980</v>
      </c>
      <c r="F6" s="9" t="s">
        <v>2981</v>
      </c>
      <c r="G6" s="9" t="s">
        <v>2982</v>
      </c>
    </row>
    <row r="7" spans="2:7" x14ac:dyDescent="0.35">
      <c r="B7" s="10" t="s">
        <v>2251</v>
      </c>
      <c r="C7" s="10">
        <f>COUNTIF(Cleaned_Data!$B:$B,$B7)</f>
        <v>1</v>
      </c>
      <c r="D7" s="15">
        <f>AVERAGEIF(Cleaned_Data!$B:$B,$B7,Cleaned_Data!$G:$G)</f>
        <v>163041</v>
      </c>
      <c r="E7" s="15">
        <f>_xlfn.MINIFS(Cleaned_Data!$G:$G,Cleaned_Data!$B:$B,$B7)</f>
        <v>163041</v>
      </c>
      <c r="F7" s="15">
        <f>_xlfn.MAXIFS(Cleaned_Data!$G:$G,Cleaned_Data!$B:$B,$B7)</f>
        <v>163041</v>
      </c>
      <c r="G7" s="10">
        <f>SUMIF(Cleaned_Data!$B:$B,$B7,Cleaned_Data!$F:$F)</f>
        <v>6</v>
      </c>
    </row>
    <row r="8" spans="2:7" x14ac:dyDescent="0.35">
      <c r="B8" s="10" t="s">
        <v>470</v>
      </c>
      <c r="C8" s="10">
        <f>COUNTIF(Cleaned_Data!$B:$B,$B8)</f>
        <v>4</v>
      </c>
      <c r="D8" s="15">
        <f>AVERAGEIF(Cleaned_Data!$B:$B,$B8,Cleaned_Data!$G:$G)</f>
        <v>159714.70000000001</v>
      </c>
      <c r="E8" s="15">
        <f>_xlfn.MINIFS(Cleaned_Data!$G:$G,Cleaned_Data!$B:$B,$B8)</f>
        <v>55452.800000000003</v>
      </c>
      <c r="F8" s="15">
        <f>_xlfn.MAXIFS(Cleaned_Data!$G:$G,Cleaned_Data!$B:$B,$B8)</f>
        <v>228480</v>
      </c>
      <c r="G8" s="10">
        <f>SUMIF(Cleaned_Data!$B:$B,$B8,Cleaned_Data!$F:$F)</f>
        <v>56</v>
      </c>
    </row>
    <row r="9" spans="2:7" x14ac:dyDescent="0.35">
      <c r="B9" s="10" t="s">
        <v>504</v>
      </c>
      <c r="C9" s="10">
        <f>COUNTIF(Cleaned_Data!$B:$B,$B9)</f>
        <v>3</v>
      </c>
      <c r="D9" s="15">
        <f>AVERAGEIF(Cleaned_Data!$B:$B,$B9,Cleaned_Data!$G:$G)</f>
        <v>154863.33333333334</v>
      </c>
      <c r="E9" s="15">
        <f>_xlfn.MINIFS(Cleaned_Data!$G:$G,Cleaned_Data!$B:$B,$B9)</f>
        <v>126647</v>
      </c>
      <c r="F9" s="15">
        <f>_xlfn.MAXIFS(Cleaned_Data!$G:$G,Cleaned_Data!$B:$B,$B9)</f>
        <v>169006</v>
      </c>
      <c r="G9" s="10">
        <f>SUMIF(Cleaned_Data!$B:$B,$B9,Cleaned_Data!$F:$F)</f>
        <v>33</v>
      </c>
    </row>
    <row r="10" spans="2:7" x14ac:dyDescent="0.35">
      <c r="B10" s="10" t="s">
        <v>544</v>
      </c>
      <c r="C10" s="10">
        <f>COUNTIF(Cleaned_Data!$B:$B,$B10)</f>
        <v>71</v>
      </c>
      <c r="D10" s="15">
        <f>AVERAGEIF(Cleaned_Data!$B:$B,$B10,Cleaned_Data!$G:$G)</f>
        <v>129481.72394366197</v>
      </c>
      <c r="E10" s="15">
        <f>_xlfn.MINIFS(Cleaned_Data!$G:$G,Cleaned_Data!$B:$B,$B10)</f>
        <v>69867.200000000012</v>
      </c>
      <c r="F10" s="15">
        <f>_xlfn.MAXIFS(Cleaned_Data!$G:$G,Cleaned_Data!$B:$B,$B10)</f>
        <v>226707</v>
      </c>
      <c r="G10" s="10">
        <f>SUMIF(Cleaned_Data!$B:$B,$B10,Cleaned_Data!$F:$F)</f>
        <v>938</v>
      </c>
    </row>
    <row r="11" spans="2:7" x14ac:dyDescent="0.35">
      <c r="B11" s="10" t="s">
        <v>529</v>
      </c>
      <c r="C11" s="10">
        <f>COUNTIF(Cleaned_Data!$B:$B,$B11)</f>
        <v>14</v>
      </c>
      <c r="D11" s="15">
        <f>AVERAGEIF(Cleaned_Data!$B:$B,$B11,Cleaned_Data!$G:$G)</f>
        <v>118235.28571428571</v>
      </c>
      <c r="E11" s="15">
        <f>_xlfn.MINIFS(Cleaned_Data!$G:$G,Cleaned_Data!$B:$B,$B11)</f>
        <v>30264</v>
      </c>
      <c r="F11" s="15">
        <f>_xlfn.MAXIFS(Cleaned_Data!$G:$G,Cleaned_Data!$B:$B,$B11)</f>
        <v>272049</v>
      </c>
      <c r="G11" s="10">
        <f>SUMIF(Cleaned_Data!$B:$B,$B11,Cleaned_Data!$F:$F)</f>
        <v>121</v>
      </c>
    </row>
    <row r="12" spans="2:7" x14ac:dyDescent="0.35">
      <c r="B12" s="10" t="s">
        <v>235</v>
      </c>
      <c r="C12" s="10">
        <f>COUNTIF(Cleaned_Data!$B:$B,$B12)</f>
        <v>200</v>
      </c>
      <c r="D12" s="15">
        <f>AVERAGEIF(Cleaned_Data!$B:$B,$B12,Cleaned_Data!$G:$G)</f>
        <v>114841.13899999998</v>
      </c>
      <c r="E12" s="15">
        <f>_xlfn.MINIFS(Cleaned_Data!$G:$G,Cleaned_Data!$B:$B,$B12)</f>
        <v>15000</v>
      </c>
      <c r="F12" s="15">
        <f>_xlfn.MAXIFS(Cleaned_Data!$G:$G,Cleaned_Data!$B:$B,$B12)</f>
        <v>370098</v>
      </c>
      <c r="G12" s="10">
        <f>SUMIF(Cleaned_Data!$B:$B,$B12,Cleaned_Data!$F:$F)</f>
        <v>3117</v>
      </c>
    </row>
    <row r="13" spans="2:7" x14ac:dyDescent="0.35">
      <c r="B13" s="10" t="s">
        <v>715</v>
      </c>
      <c r="C13" s="10">
        <f>COUNTIF(Cleaned_Data!$B:$B,$B13)</f>
        <v>35</v>
      </c>
      <c r="D13" s="15">
        <f>AVERAGEIF(Cleaned_Data!$B:$B,$B13,Cleaned_Data!$G:$G)</f>
        <v>114279.57142857143</v>
      </c>
      <c r="E13" s="15">
        <f>_xlfn.MINIFS(Cleaned_Data!$G:$G,Cleaned_Data!$B:$B,$B13)</f>
        <v>51627</v>
      </c>
      <c r="F13" s="15">
        <f>_xlfn.MAXIFS(Cleaned_Data!$G:$G,Cleaned_Data!$B:$B,$B13)</f>
        <v>240303</v>
      </c>
      <c r="G13" s="10">
        <f>SUMIF(Cleaned_Data!$B:$B,$B13,Cleaned_Data!$F:$F)</f>
        <v>1148</v>
      </c>
    </row>
    <row r="14" spans="2:7" x14ac:dyDescent="0.35">
      <c r="B14" s="10" t="s">
        <v>1144</v>
      </c>
      <c r="C14" s="10">
        <f>COUNTIF(Cleaned_Data!$B:$B,$B14)</f>
        <v>52</v>
      </c>
      <c r="D14" s="15">
        <f>AVERAGEIF(Cleaned_Data!$B:$B,$B14,Cleaned_Data!$G:$G)</f>
        <v>110308.44230769231</v>
      </c>
      <c r="E14" s="15">
        <f>_xlfn.MINIFS(Cleaned_Data!$G:$G,Cleaned_Data!$B:$B,$B14)</f>
        <v>56911</v>
      </c>
      <c r="F14" s="15">
        <f>_xlfn.MAXIFS(Cleaned_Data!$G:$G,Cleaned_Data!$B:$B,$B14)</f>
        <v>210356</v>
      </c>
      <c r="G14" s="10">
        <f>SUMIF(Cleaned_Data!$B:$B,$B14,Cleaned_Data!$F:$F)</f>
        <v>823</v>
      </c>
    </row>
    <row r="15" spans="2:7" x14ac:dyDescent="0.35">
      <c r="B15" s="10" t="s">
        <v>899</v>
      </c>
      <c r="C15" s="10">
        <f>COUNTIF(Cleaned_Data!$B:$B,$B15)</f>
        <v>20</v>
      </c>
      <c r="D15" s="15">
        <f>AVERAGEIF(Cleaned_Data!$B:$B,$B15,Cleaned_Data!$G:$G)</f>
        <v>98360.079999999987</v>
      </c>
      <c r="E15" s="15">
        <f>_xlfn.MINIFS(Cleaned_Data!$G:$G,Cleaned_Data!$B:$B,$B15)</f>
        <v>47299.199999999997</v>
      </c>
      <c r="F15" s="15">
        <f>_xlfn.MAXIFS(Cleaned_Data!$G:$G,Cleaned_Data!$B:$B,$B15)</f>
        <v>388960</v>
      </c>
      <c r="G15" s="10">
        <f>SUMIF(Cleaned_Data!$B:$B,$B15,Cleaned_Data!$F:$F)</f>
        <v>137</v>
      </c>
    </row>
    <row r="16" spans="2:7" x14ac:dyDescent="0.35">
      <c r="B16" s="10" t="s">
        <v>378</v>
      </c>
      <c r="C16" s="10">
        <f>COUNTIF(Cleaned_Data!$B:$B,$B16)</f>
        <v>86</v>
      </c>
      <c r="D16" s="15">
        <f>AVERAGEIF(Cleaned_Data!$B:$B,$B16,Cleaned_Data!$G:$G)</f>
        <v>97496.627906976748</v>
      </c>
      <c r="E16" s="15">
        <f>_xlfn.MINIFS(Cleaned_Data!$G:$G,Cleaned_Data!$B:$B,$B16)</f>
        <v>24960</v>
      </c>
      <c r="F16" s="15">
        <f>_xlfn.MAXIFS(Cleaned_Data!$G:$G,Cleaned_Data!$B:$B,$B16)</f>
        <v>423415</v>
      </c>
      <c r="G16" s="10">
        <f>SUMIF(Cleaned_Data!$B:$B,$B16,Cleaned_Data!$F:$F)</f>
        <v>4539</v>
      </c>
    </row>
    <row r="17" spans="2:7" x14ac:dyDescent="0.35">
      <c r="B17" s="10" t="s">
        <v>640</v>
      </c>
      <c r="C17" s="10">
        <f>COUNTIF(Cleaned_Data!$B:$B,$B17)</f>
        <v>20</v>
      </c>
      <c r="D17" s="15">
        <f>AVERAGEIF(Cleaned_Data!$B:$B,$B17,Cleaned_Data!$G:$G)</f>
        <v>97344.58</v>
      </c>
      <c r="E17" s="15">
        <f>_xlfn.MINIFS(Cleaned_Data!$G:$G,Cleaned_Data!$B:$B,$B17)</f>
        <v>42182.400000000001</v>
      </c>
      <c r="F17" s="15">
        <f>_xlfn.MAXIFS(Cleaned_Data!$G:$G,Cleaned_Data!$B:$B,$B17)</f>
        <v>194315</v>
      </c>
      <c r="G17" s="10">
        <f>SUMIF(Cleaned_Data!$B:$B,$B17,Cleaned_Data!$F:$F)</f>
        <v>274</v>
      </c>
    </row>
    <row r="18" spans="2:7" x14ac:dyDescent="0.35">
      <c r="B18" s="10" t="s">
        <v>486</v>
      </c>
      <c r="C18" s="10">
        <f>COUNTIF(Cleaned_Data!$B:$B,$B18)</f>
        <v>16</v>
      </c>
      <c r="D18" s="15">
        <f>AVERAGEIF(Cleaned_Data!$B:$B,$B18,Cleaned_Data!$G:$G)</f>
        <v>91487.712500000009</v>
      </c>
      <c r="E18" s="15">
        <f>_xlfn.MINIFS(Cleaned_Data!$G:$G,Cleaned_Data!$B:$B,$B18)</f>
        <v>41308.799999999996</v>
      </c>
      <c r="F18" s="15">
        <f>_xlfn.MAXIFS(Cleaned_Data!$G:$G,Cleaned_Data!$B:$B,$B18)</f>
        <v>201224</v>
      </c>
      <c r="G18" s="10">
        <f>SUMIF(Cleaned_Data!$B:$B,$B18,Cleaned_Data!$F:$F)</f>
        <v>84</v>
      </c>
    </row>
    <row r="19" spans="2:7" x14ac:dyDescent="0.35">
      <c r="B19" s="10" t="s">
        <v>1486</v>
      </c>
      <c r="C19" s="10">
        <f>COUNTIF(Cleaned_Data!$B:$B,$B19)</f>
        <v>10</v>
      </c>
      <c r="D19" s="15">
        <f>AVERAGEIF(Cleaned_Data!$B:$B,$B19,Cleaned_Data!$G:$G)</f>
        <v>89877.1</v>
      </c>
      <c r="E19" s="15">
        <f>_xlfn.MINIFS(Cleaned_Data!$G:$G,Cleaned_Data!$B:$B,$B19)</f>
        <v>59006</v>
      </c>
      <c r="F19" s="15">
        <f>_xlfn.MAXIFS(Cleaned_Data!$G:$G,Cleaned_Data!$B:$B,$B19)</f>
        <v>176537</v>
      </c>
      <c r="G19" s="10">
        <f>SUMIF(Cleaned_Data!$B:$B,$B19,Cleaned_Data!$F:$F)</f>
        <v>175</v>
      </c>
    </row>
    <row r="20" spans="2:7" x14ac:dyDescent="0.35">
      <c r="B20" s="10" t="s">
        <v>1588</v>
      </c>
      <c r="C20" s="10">
        <f>COUNTIF(Cleaned_Data!$B:$B,$B20)</f>
        <v>10</v>
      </c>
      <c r="D20" s="15">
        <f>AVERAGEIF(Cleaned_Data!$B:$B,$B20,Cleaned_Data!$G:$G)</f>
        <v>77860.640000000014</v>
      </c>
      <c r="E20" s="15">
        <f>_xlfn.MINIFS(Cleaned_Data!$G:$G,Cleaned_Data!$B:$B,$B20)</f>
        <v>37273.600000000006</v>
      </c>
      <c r="F20" s="15">
        <f>_xlfn.MAXIFS(Cleaned_Data!$G:$G,Cleaned_Data!$B:$B,$B20)</f>
        <v>177050</v>
      </c>
      <c r="G20" s="10">
        <f>SUMIF(Cleaned_Data!$B:$B,$B20,Cleaned_Data!$F:$F)</f>
        <v>53</v>
      </c>
    </row>
    <row r="21" spans="2:7" x14ac:dyDescent="0.35">
      <c r="B21" s="10" t="s">
        <v>39</v>
      </c>
      <c r="C21" s="10">
        <f>COUNTIF(Cleaned_Data!$B:$B,$B21)</f>
        <v>33</v>
      </c>
      <c r="D21" s="15">
        <f>AVERAGEIF(Cleaned_Data!$B:$B,$B21,Cleaned_Data!$G:$G)</f>
        <v>74058.084848484868</v>
      </c>
      <c r="E21" s="15">
        <f>_xlfn.MINIFS(Cleaned_Data!$G:$G,Cleaned_Data!$B:$B,$B21)</f>
        <v>33529.599999999999</v>
      </c>
      <c r="F21" s="15">
        <f>_xlfn.MAXIFS(Cleaned_Data!$G:$G,Cleaned_Data!$B:$B,$B21)</f>
        <v>154731.20000000001</v>
      </c>
      <c r="G21" s="10">
        <f>SUMIF(Cleaned_Data!$B:$B,$B21,Cleaned_Data!$F:$F)</f>
        <v>2308</v>
      </c>
    </row>
    <row r="22" spans="2:7" x14ac:dyDescent="0.35">
      <c r="B22" s="10" t="s">
        <v>2002</v>
      </c>
      <c r="C22" s="10">
        <f>COUNTIF(Cleaned_Data!$B:$B,$B22)</f>
        <v>21</v>
      </c>
      <c r="D22" s="15">
        <f>AVERAGEIF(Cleaned_Data!$B:$B,$B22,Cleaned_Data!$G:$G)</f>
        <v>69387.561904761911</v>
      </c>
      <c r="E22" s="15">
        <f>_xlfn.MINIFS(Cleaned_Data!$G:$G,Cleaned_Data!$B:$B,$B22)</f>
        <v>29350</v>
      </c>
      <c r="F22" s="15">
        <f>_xlfn.MAXIFS(Cleaned_Data!$G:$G,Cleaned_Data!$B:$B,$B22)</f>
        <v>143073</v>
      </c>
      <c r="G22" s="10">
        <f>SUMIF(Cleaned_Data!$B:$B,$B22,Cleaned_Data!$F:$F)</f>
        <v>282</v>
      </c>
    </row>
    <row r="23" spans="2:7" x14ac:dyDescent="0.35">
      <c r="B23" s="10" t="s">
        <v>1183</v>
      </c>
      <c r="C23" s="10">
        <f>COUNTIF(Cleaned_Data!$B:$B,$B23)</f>
        <v>10</v>
      </c>
      <c r="D23" s="15">
        <f>AVERAGEIF(Cleaned_Data!$B:$B,$B23,Cleaned_Data!$G:$G)</f>
        <v>66175.659999999989</v>
      </c>
      <c r="E23" s="15">
        <f>_xlfn.MINIFS(Cleaned_Data!$G:$G,Cleaned_Data!$B:$B,$B23)</f>
        <v>41974.400000000001</v>
      </c>
      <c r="F23" s="15">
        <f>_xlfn.MAXIFS(Cleaned_Data!$G:$G,Cleaned_Data!$B:$B,$B23)</f>
        <v>100843</v>
      </c>
      <c r="G23" s="10">
        <f>SUMIF(Cleaned_Data!$B:$B,$B23,Cleaned_Data!$F:$F)</f>
        <v>167</v>
      </c>
    </row>
    <row r="24" spans="2:7" x14ac:dyDescent="0.35">
      <c r="B24" s="10" t="s">
        <v>1525</v>
      </c>
      <c r="C24" s="10">
        <f>COUNTIF(Cleaned_Data!$B:$B,$B24)</f>
        <v>10</v>
      </c>
      <c r="D24" s="15">
        <f>AVERAGEIF(Cleaned_Data!$B:$B,$B24,Cleaned_Data!$G:$G)</f>
        <v>56338.92</v>
      </c>
      <c r="E24" s="15">
        <f>_xlfn.MINIFS(Cleaned_Data!$G:$G,Cleaned_Data!$B:$B,$B24)</f>
        <v>37374</v>
      </c>
      <c r="F24" s="15">
        <f>_xlfn.MAXIFS(Cleaned_Data!$G:$G,Cleaned_Data!$B:$B,$B24)</f>
        <v>84109</v>
      </c>
      <c r="G24" s="10">
        <f>SUMIF(Cleaned_Data!$B:$B,$B24,Cleaned_Data!$F:$F)</f>
        <v>83</v>
      </c>
    </row>
    <row r="25" spans="2:7" x14ac:dyDescent="0.35">
      <c r="B25" s="10" t="s">
        <v>338</v>
      </c>
      <c r="C25" s="10">
        <f>COUNTIF(Cleaned_Data!$B:$B,$B25)</f>
        <v>71</v>
      </c>
      <c r="D25" s="15">
        <f>AVERAGEIF(Cleaned_Data!$B:$B,$B25,Cleaned_Data!$G:$G)</f>
        <v>56078.405633802809</v>
      </c>
      <c r="E25" s="15">
        <f>_xlfn.MINIFS(Cleaned_Data!$G:$G,Cleaned_Data!$B:$B,$B25)</f>
        <v>16640</v>
      </c>
      <c r="F25" s="15">
        <f>_xlfn.MAXIFS(Cleaned_Data!$G:$G,Cleaned_Data!$B:$B,$B25)</f>
        <v>105032</v>
      </c>
      <c r="G25" s="10">
        <f>SUMIF(Cleaned_Data!$B:$B,$B25,Cleaned_Data!$F:$F)</f>
        <v>1622</v>
      </c>
    </row>
    <row r="26" spans="2:7" x14ac:dyDescent="0.35">
      <c r="B26" s="10" t="s">
        <v>1674</v>
      </c>
      <c r="C26" s="10">
        <f>COUNTIF(Cleaned_Data!$B:$B,$B26)</f>
        <v>30</v>
      </c>
      <c r="D26" s="15">
        <f>AVERAGEIF(Cleaned_Data!$B:$B,$B26,Cleaned_Data!$G:$G)</f>
        <v>52288.660000000018</v>
      </c>
      <c r="E26" s="15">
        <f>_xlfn.MINIFS(Cleaned_Data!$G:$G,Cleaned_Data!$B:$B,$B26)</f>
        <v>20800</v>
      </c>
      <c r="F26" s="15">
        <f>_xlfn.MAXIFS(Cleaned_Data!$G:$G,Cleaned_Data!$B:$B,$B26)</f>
        <v>254143</v>
      </c>
      <c r="G26" s="10">
        <f>SUMIF(Cleaned_Data!$B:$B,$B26,Cleaned_Data!$F:$F)</f>
        <v>3102</v>
      </c>
    </row>
    <row r="27" spans="2:7" x14ac:dyDescent="0.35">
      <c r="B27" s="10" t="s">
        <v>80</v>
      </c>
      <c r="C27" s="10">
        <f>COUNTIF(Cleaned_Data!$B:$B,$B27)</f>
        <v>53</v>
      </c>
      <c r="D27" s="15">
        <f>AVERAGEIF(Cleaned_Data!$B:$B,$B27,Cleaned_Data!$G:$G)</f>
        <v>50622.324528301884</v>
      </c>
      <c r="E27" s="15">
        <f>_xlfn.MINIFS(Cleaned_Data!$G:$G,Cleaned_Data!$B:$B,$B27)</f>
        <v>24960</v>
      </c>
      <c r="F27" s="15">
        <f>_xlfn.MAXIFS(Cleaned_Data!$G:$G,Cleaned_Data!$B:$B,$B27)</f>
        <v>181536</v>
      </c>
      <c r="G27" s="10">
        <f>SUMIF(Cleaned_Data!$B:$B,$B27,Cleaned_Data!$F:$F)</f>
        <v>1373</v>
      </c>
    </row>
    <row r="28" spans="2:7" x14ac:dyDescent="0.35">
      <c r="B28" s="10" t="s">
        <v>158</v>
      </c>
      <c r="C28" s="10">
        <f>COUNTIF(Cleaned_Data!$B:$B,$B28)</f>
        <v>32</v>
      </c>
      <c r="D28" s="15">
        <f>AVERAGEIF(Cleaned_Data!$B:$B,$B28,Cleaned_Data!$G:$G)</f>
        <v>46993.21875</v>
      </c>
      <c r="E28" s="15">
        <f>_xlfn.MINIFS(Cleaned_Data!$G:$G,Cleaned_Data!$B:$B,$B28)</f>
        <v>22464</v>
      </c>
      <c r="F28" s="15">
        <f>_xlfn.MAXIFS(Cleaned_Data!$G:$G,Cleaned_Data!$B:$B,$B28)</f>
        <v>98502</v>
      </c>
      <c r="G28" s="10">
        <f>SUMIF(Cleaned_Data!$B:$B,$B28,Cleaned_Data!$F:$F)</f>
        <v>1258</v>
      </c>
    </row>
    <row r="29" spans="2:7" x14ac:dyDescent="0.35">
      <c r="B29" s="10" t="s">
        <v>120</v>
      </c>
      <c r="C29" s="10">
        <f>COUNTIF(Cleaned_Data!$B:$B,$B29)</f>
        <v>10</v>
      </c>
      <c r="D29" s="15">
        <f>AVERAGEIF(Cleaned_Data!$B:$B,$B29,Cleaned_Data!$G:$G)</f>
        <v>46444.32</v>
      </c>
      <c r="E29" s="15">
        <f>_xlfn.MINIFS(Cleaned_Data!$G:$G,Cleaned_Data!$B:$B,$B29)</f>
        <v>28620.799999999999</v>
      </c>
      <c r="F29" s="15">
        <f>_xlfn.MAXIFS(Cleaned_Data!$G:$G,Cleaned_Data!$B:$B,$B29)</f>
        <v>77022.400000000009</v>
      </c>
      <c r="G29" s="10">
        <f>SUMIF(Cleaned_Data!$B:$B,$B29,Cleaned_Data!$F:$F)</f>
        <v>547</v>
      </c>
    </row>
    <row r="30" spans="2:7" x14ac:dyDescent="0.35">
      <c r="B30" s="10" t="s">
        <v>198</v>
      </c>
      <c r="C30" s="10">
        <f>COUNTIF(Cleaned_Data!$B:$B,$B30)</f>
        <v>91</v>
      </c>
      <c r="D30" s="15">
        <f>AVERAGEIF(Cleaned_Data!$B:$B,$B30,Cleaned_Data!$G:$G)</f>
        <v>44174.58901098901</v>
      </c>
      <c r="E30" s="15">
        <f>_xlfn.MINIFS(Cleaned_Data!$G:$G,Cleaned_Data!$B:$B,$B30)</f>
        <v>22963.199999999997</v>
      </c>
      <c r="F30" s="15">
        <f>_xlfn.MAXIFS(Cleaned_Data!$G:$G,Cleaned_Data!$B:$B,$B30)</f>
        <v>204603</v>
      </c>
      <c r="G30" s="10">
        <f>SUMIF(Cleaned_Data!$B:$B,$B30,Cleaned_Data!$F:$F)</f>
        <v>7652</v>
      </c>
    </row>
    <row r="31" spans="2:7" x14ac:dyDescent="0.35">
      <c r="B31" s="10" t="s">
        <v>1085</v>
      </c>
      <c r="C31" s="10">
        <f>COUNTIF(Cleaned_Data!$B:$B,$B31)</f>
        <v>44</v>
      </c>
      <c r="D31" s="15">
        <f>AVERAGEIF(Cleaned_Data!$B:$B,$B31,Cleaned_Data!$G:$G)</f>
        <v>37642.80454545455</v>
      </c>
      <c r="E31" s="15">
        <f>_xlfn.MINIFS(Cleaned_Data!$G:$G,Cleaned_Data!$B:$B,$B31)</f>
        <v>15080</v>
      </c>
      <c r="F31" s="15">
        <f>_xlfn.MAXIFS(Cleaned_Data!$G:$G,Cleaned_Data!$B:$B,$B31)</f>
        <v>79844</v>
      </c>
      <c r="G31" s="10">
        <f>SUMIF(Cleaned_Data!$B:$B,$B31,Cleaned_Data!$F:$F)</f>
        <v>4805</v>
      </c>
    </row>
    <row r="32" spans="2:7" x14ac:dyDescent="0.35">
      <c r="B32" s="10" t="s">
        <v>2891</v>
      </c>
      <c r="C32" s="10">
        <f>COUNTIF(Cleaned_Data!$B:$B,$B32)</f>
        <v>13</v>
      </c>
      <c r="D32" s="15">
        <f>AVERAGEIF(Cleaned_Data!$B:$B,$B32,Cleaned_Data!$G:$G)</f>
        <v>36421.538461538461</v>
      </c>
      <c r="E32" s="15">
        <f>_xlfn.MINIFS(Cleaned_Data!$G:$G,Cleaned_Data!$B:$B,$B32)</f>
        <v>24211.200000000001</v>
      </c>
      <c r="F32" s="15">
        <f>_xlfn.MAXIFS(Cleaned_Data!$G:$G,Cleaned_Data!$B:$B,$B32)</f>
        <v>72768</v>
      </c>
      <c r="G32" s="10">
        <f>SUMIF(Cleaned_Data!$B:$B,$B32,Cleaned_Data!$F:$F)</f>
        <v>139</v>
      </c>
    </row>
    <row r="33" spans="2:7" x14ac:dyDescent="0.35">
      <c r="B33" s="10" t="s">
        <v>1769</v>
      </c>
      <c r="C33" s="10">
        <f>COUNTIF(Cleaned_Data!$B:$B,$B33)</f>
        <v>3</v>
      </c>
      <c r="D33" s="15">
        <f>AVERAGEIF(Cleaned_Data!$B:$B,$B33,Cleaned_Data!$G:$G)</f>
        <v>36178.133333333331</v>
      </c>
      <c r="E33" s="15">
        <f>_xlfn.MINIFS(Cleaned_Data!$G:$G,Cleaned_Data!$B:$B,$B33)</f>
        <v>35817.599999999999</v>
      </c>
      <c r="F33" s="15">
        <f>_xlfn.MAXIFS(Cleaned_Data!$G:$G,Cleaned_Data!$B:$B,$B33)</f>
        <v>36524.799999999996</v>
      </c>
      <c r="G33" s="10">
        <f>SUMIF(Cleaned_Data!$B:$B,$B33,Cleaned_Data!$F:$F)</f>
        <v>240</v>
      </c>
    </row>
    <row r="34" spans="2:7" x14ac:dyDescent="0.35">
      <c r="B34" s="10" t="s">
        <v>2282</v>
      </c>
      <c r="C34" s="10">
        <f>COUNTIF(Cleaned_Data!$B:$B,$B34)</f>
        <v>9</v>
      </c>
      <c r="D34" s="15">
        <f>AVERAGEIF(Cleaned_Data!$B:$B,$B34,Cleaned_Data!$G:$G)</f>
        <v>34121.244444444441</v>
      </c>
      <c r="E34" s="15">
        <f>_xlfn.MINIFS(Cleaned_Data!$G:$G,Cleaned_Data!$B:$B,$B34)</f>
        <v>27872</v>
      </c>
      <c r="F34" s="15">
        <f>_xlfn.MAXIFS(Cleaned_Data!$G:$G,Cleaned_Data!$B:$B,$B34)</f>
        <v>42889.599999999999</v>
      </c>
      <c r="G34" s="10">
        <f>SUMIF(Cleaned_Data!$B:$B,$B34,Cleaned_Data!$F:$F)</f>
        <v>2131</v>
      </c>
    </row>
    <row r="35" spans="2:7" x14ac:dyDescent="0.35">
      <c r="B35" s="10" t="s">
        <v>2071</v>
      </c>
      <c r="C35" s="10">
        <f>COUNTIF(Cleaned_Data!$B:$B,$B35)</f>
        <v>7</v>
      </c>
      <c r="D35" s="15">
        <f>AVERAGEIF(Cleaned_Data!$B:$B,$B35,Cleaned_Data!$G:$G)</f>
        <v>34090.257142857139</v>
      </c>
      <c r="E35" s="15">
        <f>_xlfn.MINIFS(Cleaned_Data!$G:$G,Cleaned_Data!$B:$B,$B35)</f>
        <v>25729.599999999999</v>
      </c>
      <c r="F35" s="15">
        <f>_xlfn.MAXIFS(Cleaned_Data!$G:$G,Cleaned_Data!$B:$B,$B35)</f>
        <v>42883</v>
      </c>
      <c r="G35" s="10">
        <f>SUMIF(Cleaned_Data!$B:$B,$B35,Cleaned_Data!$F:$F)</f>
        <v>84</v>
      </c>
    </row>
    <row r="38" spans="2:7" ht="16.5" x14ac:dyDescent="0.35">
      <c r="B38" s="7" t="s">
        <v>2983</v>
      </c>
    </row>
    <row r="39" spans="2:7" ht="28" x14ac:dyDescent="0.35">
      <c r="B39" s="9" t="s">
        <v>2955</v>
      </c>
      <c r="C39" s="9" t="s">
        <v>2978</v>
      </c>
      <c r="D39" s="9" t="s">
        <v>2979</v>
      </c>
      <c r="E39" s="9" t="s">
        <v>2980</v>
      </c>
      <c r="F39" s="9" t="s">
        <v>2981</v>
      </c>
      <c r="G39" s="9" t="s">
        <v>2982</v>
      </c>
    </row>
    <row r="40" spans="2:7" x14ac:dyDescent="0.35">
      <c r="B40" s="10" t="s">
        <v>2774</v>
      </c>
      <c r="C40" s="10">
        <f>COUNTIF(Cleaned_Data!$A:$A,$B40)</f>
        <v>10</v>
      </c>
      <c r="D40" s="15">
        <f>AVERAGEIF(Cleaned_Data!$A:$A,$B40,Cleaned_Data!$G:$G)</f>
        <v>213921.44</v>
      </c>
      <c r="E40" s="15">
        <f>_xlfn.MINIFS(Cleaned_Data!$G:$G,Cleaned_Data!$A:$A,$B40)</f>
        <v>65686.399999999994</v>
      </c>
      <c r="F40" s="15">
        <f>_xlfn.MAXIFS(Cleaned_Data!$G:$G,Cleaned_Data!$A:$A,$B40)</f>
        <v>370098</v>
      </c>
      <c r="G40" s="10">
        <f>SUMIF(Cleaned_Data!$A:$A,$B40,Cleaned_Data!$F:$F)</f>
        <v>42</v>
      </c>
    </row>
    <row r="41" spans="2:7" x14ac:dyDescent="0.35">
      <c r="B41" s="10" t="s">
        <v>2234</v>
      </c>
      <c r="C41" s="10">
        <f>COUNTIF(Cleaned_Data!$A:$A,$B41)</f>
        <v>10</v>
      </c>
      <c r="D41" s="15">
        <f>AVERAGEIF(Cleaned_Data!$A:$A,$B41,Cleaned_Data!$G:$G)</f>
        <v>197383.7</v>
      </c>
      <c r="E41" s="15">
        <f>_xlfn.MINIFS(Cleaned_Data!$G:$G,Cleaned_Data!$A:$A,$B41)</f>
        <v>135622</v>
      </c>
      <c r="F41" s="15">
        <f>_xlfn.MAXIFS(Cleaned_Data!$G:$G,Cleaned_Data!$A:$A,$B41)</f>
        <v>308137</v>
      </c>
      <c r="G41" s="10">
        <f>SUMIF(Cleaned_Data!$A:$A,$B41,Cleaned_Data!$F:$F)</f>
        <v>47</v>
      </c>
    </row>
    <row r="42" spans="2:7" x14ac:dyDescent="0.35">
      <c r="B42" s="10" t="s">
        <v>2746</v>
      </c>
      <c r="C42" s="10">
        <f>COUNTIF(Cleaned_Data!$A:$A,$B42)</f>
        <v>10</v>
      </c>
      <c r="D42" s="15">
        <f>AVERAGEIF(Cleaned_Data!$A:$A,$B42,Cleaned_Data!$G:$G)</f>
        <v>195886.4</v>
      </c>
      <c r="E42" s="15">
        <f>_xlfn.MINIFS(Cleaned_Data!$G:$G,Cleaned_Data!$A:$A,$B42)</f>
        <v>81060</v>
      </c>
      <c r="F42" s="15">
        <f>_xlfn.MAXIFS(Cleaned_Data!$G:$G,Cleaned_Data!$A:$A,$B42)</f>
        <v>304715</v>
      </c>
      <c r="G42" s="10">
        <f>SUMIF(Cleaned_Data!$A:$A,$B42,Cleaned_Data!$F:$F)</f>
        <v>100</v>
      </c>
    </row>
    <row r="43" spans="2:7" x14ac:dyDescent="0.35">
      <c r="B43" s="10" t="s">
        <v>2210</v>
      </c>
      <c r="C43" s="10">
        <f>COUNTIF(Cleaned_Data!$A:$A,$B43)</f>
        <v>10</v>
      </c>
      <c r="D43" s="15">
        <f>AVERAGEIF(Cleaned_Data!$A:$A,$B43,Cleaned_Data!$G:$G)</f>
        <v>162608.6</v>
      </c>
      <c r="E43" s="15">
        <f>_xlfn.MINIFS(Cleaned_Data!$G:$G,Cleaned_Data!$A:$A,$B43)</f>
        <v>38647</v>
      </c>
      <c r="F43" s="15">
        <f>_xlfn.MAXIFS(Cleaned_Data!$G:$G,Cleaned_Data!$A:$A,$B43)</f>
        <v>423415</v>
      </c>
      <c r="G43" s="10">
        <f>SUMIF(Cleaned_Data!$A:$A,$B43,Cleaned_Data!$F:$F)</f>
        <v>42</v>
      </c>
    </row>
    <row r="44" spans="2:7" x14ac:dyDescent="0.35">
      <c r="B44" s="10" t="s">
        <v>2816</v>
      </c>
      <c r="C44" s="10">
        <f>COUNTIF(Cleaned_Data!$A:$A,$B44)</f>
        <v>10</v>
      </c>
      <c r="D44" s="15">
        <f>AVERAGEIF(Cleaned_Data!$A:$A,$B44,Cleaned_Data!$G:$G)</f>
        <v>156559.79999999999</v>
      </c>
      <c r="E44" s="15">
        <f>_xlfn.MINIFS(Cleaned_Data!$G:$G,Cleaned_Data!$A:$A,$B44)</f>
        <v>68804</v>
      </c>
      <c r="F44" s="15">
        <f>_xlfn.MAXIFS(Cleaned_Data!$G:$G,Cleaned_Data!$A:$A,$B44)</f>
        <v>269645</v>
      </c>
      <c r="G44" s="10">
        <f>SUMIF(Cleaned_Data!$A:$A,$B44,Cleaned_Data!$F:$F)</f>
        <v>91</v>
      </c>
    </row>
    <row r="45" spans="2:7" x14ac:dyDescent="0.35">
      <c r="B45" s="10" t="s">
        <v>543</v>
      </c>
      <c r="C45" s="10">
        <f>COUNTIF(Cleaned_Data!$A:$A,$B45)</f>
        <v>10</v>
      </c>
      <c r="D45" s="15">
        <f>AVERAGEIF(Cleaned_Data!$A:$A,$B45,Cleaned_Data!$G:$G)</f>
        <v>151997.06</v>
      </c>
      <c r="E45" s="15">
        <f>_xlfn.MINIFS(Cleaned_Data!$G:$G,Cleaned_Data!$A:$A,$B45)</f>
        <v>102065.60000000001</v>
      </c>
      <c r="F45" s="15">
        <f>_xlfn.MAXIFS(Cleaned_Data!$G:$G,Cleaned_Data!$A:$A,$B45)</f>
        <v>226707</v>
      </c>
      <c r="G45" s="10">
        <f>SUMIF(Cleaned_Data!$A:$A,$B45,Cleaned_Data!$F:$F)</f>
        <v>133</v>
      </c>
    </row>
    <row r="46" spans="2:7" x14ac:dyDescent="0.35">
      <c r="B46" s="10" t="s">
        <v>2432</v>
      </c>
      <c r="C46" s="10">
        <f>COUNTIF(Cleaned_Data!$A:$A,$B46)</f>
        <v>10</v>
      </c>
      <c r="D46" s="15">
        <f>AVERAGEIF(Cleaned_Data!$A:$A,$B46,Cleaned_Data!$G:$G)</f>
        <v>148389.70000000001</v>
      </c>
      <c r="E46" s="15">
        <f>_xlfn.MINIFS(Cleaned_Data!$G:$G,Cleaned_Data!$A:$A,$B46)</f>
        <v>46998</v>
      </c>
      <c r="F46" s="15">
        <f>_xlfn.MAXIFS(Cleaned_Data!$G:$G,Cleaned_Data!$A:$A,$B46)</f>
        <v>261472</v>
      </c>
      <c r="G46" s="10">
        <f>SUMIF(Cleaned_Data!$A:$A,$B46,Cleaned_Data!$F:$F)</f>
        <v>135</v>
      </c>
    </row>
    <row r="47" spans="2:7" x14ac:dyDescent="0.35">
      <c r="B47" s="10" t="s">
        <v>714</v>
      </c>
      <c r="C47" s="10">
        <f>COUNTIF(Cleaned_Data!$A:$A,$B47)</f>
        <v>10</v>
      </c>
      <c r="D47" s="15">
        <f>AVERAGEIF(Cleaned_Data!$A:$A,$B47,Cleaned_Data!$G:$G)</f>
        <v>145721.29999999999</v>
      </c>
      <c r="E47" s="15">
        <f>_xlfn.MINIFS(Cleaned_Data!$G:$G,Cleaned_Data!$A:$A,$B47)</f>
        <v>90563</v>
      </c>
      <c r="F47" s="15">
        <f>_xlfn.MAXIFS(Cleaned_Data!$G:$G,Cleaned_Data!$A:$A,$B47)</f>
        <v>240303</v>
      </c>
      <c r="G47" s="10">
        <f>SUMIF(Cleaned_Data!$A:$A,$B47,Cleaned_Data!$F:$F)</f>
        <v>819</v>
      </c>
    </row>
    <row r="48" spans="2:7" x14ac:dyDescent="0.35">
      <c r="B48" s="10" t="s">
        <v>2586</v>
      </c>
      <c r="C48" s="10">
        <f>COUNTIF(Cleaned_Data!$A:$A,$B48)</f>
        <v>10</v>
      </c>
      <c r="D48" s="15">
        <f>AVERAGEIF(Cleaned_Data!$A:$A,$B48,Cleaned_Data!$G:$G)</f>
        <v>141828.20000000001</v>
      </c>
      <c r="E48" s="15">
        <f>_xlfn.MINIFS(Cleaned_Data!$G:$G,Cleaned_Data!$A:$A,$B48)</f>
        <v>81354</v>
      </c>
      <c r="F48" s="15">
        <f>_xlfn.MAXIFS(Cleaned_Data!$G:$G,Cleaned_Data!$A:$A,$B48)</f>
        <v>209548</v>
      </c>
      <c r="G48" s="10">
        <f>SUMIF(Cleaned_Data!$A:$A,$B48,Cleaned_Data!$F:$F)</f>
        <v>61</v>
      </c>
    </row>
    <row r="49" spans="2:7" x14ac:dyDescent="0.35">
      <c r="B49" s="10" t="s">
        <v>2127</v>
      </c>
      <c r="C49" s="10">
        <f>COUNTIF(Cleaned_Data!$A:$A,$B49)</f>
        <v>10</v>
      </c>
      <c r="D49" s="15">
        <f>AVERAGEIF(Cleaned_Data!$A:$A,$B49,Cleaned_Data!$G:$G)</f>
        <v>134491.48000000001</v>
      </c>
      <c r="E49" s="15">
        <f>_xlfn.MINIFS(Cleaned_Data!$G:$G,Cleaned_Data!$A:$A,$B49)</f>
        <v>48173</v>
      </c>
      <c r="F49" s="15">
        <f>_xlfn.MAXIFS(Cleaned_Data!$G:$G,Cleaned_Data!$A:$A,$B49)</f>
        <v>369439</v>
      </c>
      <c r="G49" s="10">
        <f>SUMIF(Cleaned_Data!$A:$A,$B49,Cleaned_Data!$F:$F)</f>
        <v>66</v>
      </c>
    </row>
    <row r="50" spans="2:7" x14ac:dyDescent="0.35">
      <c r="B50" s="10" t="s">
        <v>469</v>
      </c>
      <c r="C50" s="10">
        <f>COUNTIF(Cleaned_Data!$A:$A,$B50)</f>
        <v>10</v>
      </c>
      <c r="D50" s="15">
        <f>AVERAGEIF(Cleaned_Data!$A:$A,$B50,Cleaned_Data!$G:$G)</f>
        <v>134460.34</v>
      </c>
      <c r="E50" s="15">
        <f>_xlfn.MINIFS(Cleaned_Data!$G:$G,Cleaned_Data!$A:$A,$B50)</f>
        <v>55452.800000000003</v>
      </c>
      <c r="F50" s="15">
        <f>_xlfn.MAXIFS(Cleaned_Data!$G:$G,Cleaned_Data!$A:$A,$B50)</f>
        <v>228480</v>
      </c>
      <c r="G50" s="10">
        <f>SUMIF(Cleaned_Data!$A:$A,$B50,Cleaned_Data!$F:$F)</f>
        <v>112</v>
      </c>
    </row>
    <row r="51" spans="2:7" x14ac:dyDescent="0.35">
      <c r="B51" s="10" t="s">
        <v>1296</v>
      </c>
      <c r="C51" s="10">
        <f>COUNTIF(Cleaned_Data!$A:$A,$B51)</f>
        <v>10</v>
      </c>
      <c r="D51" s="15">
        <f>AVERAGEIF(Cleaned_Data!$A:$A,$B51,Cleaned_Data!$G:$G)</f>
        <v>133518.6</v>
      </c>
      <c r="E51" s="15">
        <f>_xlfn.MINIFS(Cleaned_Data!$G:$G,Cleaned_Data!$A:$A,$B51)</f>
        <v>75982</v>
      </c>
      <c r="F51" s="15">
        <f>_xlfn.MAXIFS(Cleaned_Data!$G:$G,Cleaned_Data!$A:$A,$B51)</f>
        <v>213667</v>
      </c>
      <c r="G51" s="10">
        <f>SUMIF(Cleaned_Data!$A:$A,$B51,Cleaned_Data!$F:$F)</f>
        <v>79</v>
      </c>
    </row>
    <row r="52" spans="2:7" x14ac:dyDescent="0.35">
      <c r="B52" s="10" t="s">
        <v>377</v>
      </c>
      <c r="C52" s="10">
        <f>COUNTIF(Cleaned_Data!$A:$A,$B52)</f>
        <v>10</v>
      </c>
      <c r="D52" s="15">
        <f>AVERAGEIF(Cleaned_Data!$A:$A,$B52,Cleaned_Data!$G:$G)</f>
        <v>130591</v>
      </c>
      <c r="E52" s="15">
        <f>_xlfn.MINIFS(Cleaned_Data!$G:$G,Cleaned_Data!$A:$A,$B52)</f>
        <v>79264</v>
      </c>
      <c r="F52" s="15">
        <f>_xlfn.MAXIFS(Cleaned_Data!$G:$G,Cleaned_Data!$A:$A,$B52)</f>
        <v>199325</v>
      </c>
      <c r="G52" s="10">
        <f>SUMIF(Cleaned_Data!$A:$A,$B52,Cleaned_Data!$F:$F)</f>
        <v>81</v>
      </c>
    </row>
    <row r="53" spans="2:7" x14ac:dyDescent="0.35">
      <c r="B53" s="10" t="s">
        <v>611</v>
      </c>
      <c r="C53" s="10">
        <f>COUNTIF(Cleaned_Data!$A:$A,$B53)</f>
        <v>10</v>
      </c>
      <c r="D53" s="15">
        <f>AVERAGEIF(Cleaned_Data!$A:$A,$B53,Cleaned_Data!$G:$G)</f>
        <v>129302.39999999999</v>
      </c>
      <c r="E53" s="15">
        <f>_xlfn.MINIFS(Cleaned_Data!$G:$G,Cleaned_Data!$A:$A,$B53)</f>
        <v>99840</v>
      </c>
      <c r="F53" s="15">
        <f>_xlfn.MAXIFS(Cleaned_Data!$G:$G,Cleaned_Data!$A:$A,$B53)</f>
        <v>186216</v>
      </c>
      <c r="G53" s="10">
        <f>SUMIF(Cleaned_Data!$A:$A,$B53,Cleaned_Data!$F:$F)</f>
        <v>166</v>
      </c>
    </row>
    <row r="54" spans="2:7" x14ac:dyDescent="0.35">
      <c r="B54" s="10" t="s">
        <v>509</v>
      </c>
      <c r="C54" s="10">
        <f>COUNTIF(Cleaned_Data!$A:$A,$B54)</f>
        <v>10</v>
      </c>
      <c r="D54" s="15">
        <f>AVERAGEIF(Cleaned_Data!$A:$A,$B54,Cleaned_Data!$G:$G)</f>
        <v>129158.01999999999</v>
      </c>
      <c r="E54" s="15">
        <f>_xlfn.MINIFS(Cleaned_Data!$G:$G,Cleaned_Data!$A:$A,$B54)</f>
        <v>41308.799999999996</v>
      </c>
      <c r="F54" s="15">
        <f>_xlfn.MAXIFS(Cleaned_Data!$G:$G,Cleaned_Data!$A:$A,$B54)</f>
        <v>272049</v>
      </c>
      <c r="G54" s="10">
        <f>SUMIF(Cleaned_Data!$A:$A,$B54,Cleaned_Data!$F:$F)</f>
        <v>45</v>
      </c>
    </row>
    <row r="55" spans="2:7" x14ac:dyDescent="0.35">
      <c r="B55" s="10" t="s">
        <v>2729</v>
      </c>
      <c r="C55" s="10">
        <f>COUNTIF(Cleaned_Data!$A:$A,$B55)</f>
        <v>10</v>
      </c>
      <c r="D55" s="15">
        <f>AVERAGEIF(Cleaned_Data!$A:$A,$B55,Cleaned_Data!$G:$G)</f>
        <v>128542.01999999999</v>
      </c>
      <c r="E55" s="15">
        <f>_xlfn.MINIFS(Cleaned_Data!$G:$G,Cleaned_Data!$A:$A,$B55)</f>
        <v>36150.400000000001</v>
      </c>
      <c r="F55" s="15">
        <f>_xlfn.MAXIFS(Cleaned_Data!$G:$G,Cleaned_Data!$A:$A,$B55)</f>
        <v>267642</v>
      </c>
      <c r="G55" s="10">
        <f>SUMIF(Cleaned_Data!$A:$A,$B55,Cleaned_Data!$F:$F)</f>
        <v>44</v>
      </c>
    </row>
    <row r="56" spans="2:7" x14ac:dyDescent="0.35">
      <c r="B56" s="10" t="s">
        <v>859</v>
      </c>
      <c r="C56" s="10">
        <f>COUNTIF(Cleaned_Data!$A:$A,$B56)</f>
        <v>10</v>
      </c>
      <c r="D56" s="15">
        <f>AVERAGEIF(Cleaned_Data!$A:$A,$B56,Cleaned_Data!$G:$G)</f>
        <v>126992</v>
      </c>
      <c r="E56" s="15">
        <f>_xlfn.MINIFS(Cleaned_Data!$G:$G,Cleaned_Data!$A:$A,$B56)</f>
        <v>55306</v>
      </c>
      <c r="F56" s="15">
        <f>_xlfn.MAXIFS(Cleaned_Data!$G:$G,Cleaned_Data!$A:$A,$B56)</f>
        <v>208997</v>
      </c>
      <c r="G56" s="10">
        <f>SUMIF(Cleaned_Data!$A:$A,$B56,Cleaned_Data!$F:$F)</f>
        <v>1061</v>
      </c>
    </row>
    <row r="57" spans="2:7" x14ac:dyDescent="0.35">
      <c r="B57" s="10" t="s">
        <v>2368</v>
      </c>
      <c r="C57" s="10">
        <f>COUNTIF(Cleaned_Data!$A:$A,$B57)</f>
        <v>10</v>
      </c>
      <c r="D57" s="15">
        <f>AVERAGEIF(Cleaned_Data!$A:$A,$B57,Cleaned_Data!$G:$G)</f>
        <v>125062.3</v>
      </c>
      <c r="E57" s="15">
        <f>_xlfn.MINIFS(Cleaned_Data!$G:$G,Cleaned_Data!$A:$A,$B57)</f>
        <v>87493</v>
      </c>
      <c r="F57" s="15">
        <f>_xlfn.MAXIFS(Cleaned_Data!$G:$G,Cleaned_Data!$A:$A,$B57)</f>
        <v>159535</v>
      </c>
      <c r="G57" s="10">
        <f>SUMIF(Cleaned_Data!$A:$A,$B57,Cleaned_Data!$F:$F)</f>
        <v>126</v>
      </c>
    </row>
    <row r="58" spans="2:7" x14ac:dyDescent="0.35">
      <c r="B58" s="10" t="s">
        <v>2507</v>
      </c>
      <c r="C58" s="10">
        <f>COUNTIF(Cleaned_Data!$A:$A,$B58)</f>
        <v>10</v>
      </c>
      <c r="D58" s="15">
        <f>AVERAGEIF(Cleaned_Data!$A:$A,$B58,Cleaned_Data!$G:$G)</f>
        <v>123747.42</v>
      </c>
      <c r="E58" s="15">
        <f>_xlfn.MINIFS(Cleaned_Data!$G:$G,Cleaned_Data!$A:$A,$B58)</f>
        <v>64003</v>
      </c>
      <c r="F58" s="15">
        <f>_xlfn.MAXIFS(Cleaned_Data!$G:$G,Cleaned_Data!$A:$A,$B58)</f>
        <v>224079</v>
      </c>
      <c r="G58" s="10">
        <f>SUMIF(Cleaned_Data!$A:$A,$B58,Cleaned_Data!$F:$F)</f>
        <v>67</v>
      </c>
    </row>
    <row r="59" spans="2:7" x14ac:dyDescent="0.35">
      <c r="B59" s="10" t="s">
        <v>755</v>
      </c>
      <c r="C59" s="10">
        <f>COUNTIF(Cleaned_Data!$A:$A,$B59)</f>
        <v>10</v>
      </c>
      <c r="D59" s="15">
        <f>AVERAGEIF(Cleaned_Data!$A:$A,$B59,Cleaned_Data!$G:$G)</f>
        <v>122828.4</v>
      </c>
      <c r="E59" s="15">
        <f>_xlfn.MINIFS(Cleaned_Data!$G:$G,Cleaned_Data!$A:$A,$B59)</f>
        <v>80101</v>
      </c>
      <c r="F59" s="15">
        <f>_xlfn.MAXIFS(Cleaned_Data!$G:$G,Cleaned_Data!$A:$A,$B59)</f>
        <v>194315</v>
      </c>
      <c r="G59" s="10">
        <f>SUMIF(Cleaned_Data!$A:$A,$B59,Cleaned_Data!$F:$F)</f>
        <v>59</v>
      </c>
    </row>
    <row r="60" spans="2:7" x14ac:dyDescent="0.35">
      <c r="B60" s="10" t="s">
        <v>1263</v>
      </c>
      <c r="C60" s="10">
        <f>COUNTIF(Cleaned_Data!$A:$A,$B60)</f>
        <v>10</v>
      </c>
      <c r="D60" s="15">
        <f>AVERAGEIF(Cleaned_Data!$A:$A,$B60,Cleaned_Data!$G:$G)</f>
        <v>121567.4</v>
      </c>
      <c r="E60" s="15">
        <f>_xlfn.MINIFS(Cleaned_Data!$G:$G,Cleaned_Data!$A:$A,$B60)</f>
        <v>91418</v>
      </c>
      <c r="F60" s="15">
        <f>_xlfn.MAXIFS(Cleaned_Data!$G:$G,Cleaned_Data!$A:$A,$B60)</f>
        <v>198469</v>
      </c>
      <c r="G60" s="10">
        <f>SUMIF(Cleaned_Data!$A:$A,$B60,Cleaned_Data!$F:$F)</f>
        <v>190</v>
      </c>
    </row>
    <row r="61" spans="2:7" x14ac:dyDescent="0.35">
      <c r="B61" s="10" t="s">
        <v>2459</v>
      </c>
      <c r="C61" s="10">
        <f>COUNTIF(Cleaned_Data!$A:$A,$B61)</f>
        <v>10</v>
      </c>
      <c r="D61" s="15">
        <f>AVERAGEIF(Cleaned_Data!$A:$A,$B61,Cleaned_Data!$G:$G)</f>
        <v>120056.4</v>
      </c>
      <c r="E61" s="15">
        <f>_xlfn.MINIFS(Cleaned_Data!$G:$G,Cleaned_Data!$A:$A,$B61)</f>
        <v>93155</v>
      </c>
      <c r="F61" s="15">
        <f>_xlfn.MAXIFS(Cleaned_Data!$G:$G,Cleaned_Data!$A:$A,$B61)</f>
        <v>140463</v>
      </c>
      <c r="G61" s="10">
        <f>SUMIF(Cleaned_Data!$A:$A,$B61,Cleaned_Data!$F:$F)</f>
        <v>69</v>
      </c>
    </row>
    <row r="62" spans="2:7" x14ac:dyDescent="0.35">
      <c r="B62" s="10" t="s">
        <v>1451</v>
      </c>
      <c r="C62" s="10">
        <f>COUNTIF(Cleaned_Data!$A:$A,$B62)</f>
        <v>10</v>
      </c>
      <c r="D62" s="15">
        <f>AVERAGEIF(Cleaned_Data!$A:$A,$B62,Cleaned_Data!$G:$G)</f>
        <v>119947.35999999999</v>
      </c>
      <c r="E62" s="15">
        <f>_xlfn.MINIFS(Cleaned_Data!$G:$G,Cleaned_Data!$A:$A,$B62)</f>
        <v>63377.599999999999</v>
      </c>
      <c r="F62" s="15">
        <f>_xlfn.MAXIFS(Cleaned_Data!$G:$G,Cleaned_Data!$A:$A,$B62)</f>
        <v>388960</v>
      </c>
      <c r="G62" s="10">
        <f>SUMIF(Cleaned_Data!$A:$A,$B62,Cleaned_Data!$F:$F)</f>
        <v>111</v>
      </c>
    </row>
    <row r="63" spans="2:7" x14ac:dyDescent="0.35">
      <c r="B63" s="10" t="s">
        <v>680</v>
      </c>
      <c r="C63" s="10">
        <f>COUNTIF(Cleaned_Data!$A:$A,$B63)</f>
        <v>10</v>
      </c>
      <c r="D63" s="15">
        <f>AVERAGEIF(Cleaned_Data!$A:$A,$B63,Cleaned_Data!$G:$G)</f>
        <v>118444.51999999999</v>
      </c>
      <c r="E63" s="15">
        <f>_xlfn.MINIFS(Cleaned_Data!$G:$G,Cleaned_Data!$A:$A,$B63)</f>
        <v>69867.200000000012</v>
      </c>
      <c r="F63" s="15">
        <f>_xlfn.MAXIFS(Cleaned_Data!$G:$G,Cleaned_Data!$A:$A,$B63)</f>
        <v>157119</v>
      </c>
      <c r="G63" s="10">
        <f>SUMIF(Cleaned_Data!$A:$A,$B63,Cleaned_Data!$F:$F)</f>
        <v>184</v>
      </c>
    </row>
    <row r="64" spans="2:7" x14ac:dyDescent="0.35">
      <c r="B64" s="10" t="s">
        <v>582</v>
      </c>
      <c r="C64" s="10">
        <f>COUNTIF(Cleaned_Data!$A:$A,$B64)</f>
        <v>10</v>
      </c>
      <c r="D64" s="15">
        <f>AVERAGEIF(Cleaned_Data!$A:$A,$B64,Cleaned_Data!$G:$G)</f>
        <v>115614.16</v>
      </c>
      <c r="E64" s="15">
        <f>_xlfn.MINIFS(Cleaned_Data!$G:$G,Cleaned_Data!$A:$A,$B64)</f>
        <v>77521.600000000006</v>
      </c>
      <c r="F64" s="15">
        <f>_xlfn.MAXIFS(Cleaned_Data!$G:$G,Cleaned_Data!$A:$A,$B64)</f>
        <v>141232</v>
      </c>
      <c r="G64" s="10">
        <f>SUMIF(Cleaned_Data!$A:$A,$B64,Cleaned_Data!$F:$F)</f>
        <v>119</v>
      </c>
    </row>
    <row r="65" spans="2:7" x14ac:dyDescent="0.35">
      <c r="B65" s="10" t="s">
        <v>445</v>
      </c>
      <c r="C65" s="10">
        <f>COUNTIF(Cleaned_Data!$A:$A,$B65)</f>
        <v>10</v>
      </c>
      <c r="D65" s="15">
        <f>AVERAGEIF(Cleaned_Data!$A:$A,$B65,Cleaned_Data!$G:$G)</f>
        <v>115145.3</v>
      </c>
      <c r="E65" s="15">
        <f>_xlfn.MINIFS(Cleaned_Data!$G:$G,Cleaned_Data!$A:$A,$B65)</f>
        <v>64210</v>
      </c>
      <c r="F65" s="15">
        <f>_xlfn.MAXIFS(Cleaned_Data!$G:$G,Cleaned_Data!$A:$A,$B65)</f>
        <v>158588</v>
      </c>
      <c r="G65" s="10">
        <f>SUMIF(Cleaned_Data!$A:$A,$B65,Cleaned_Data!$F:$F)</f>
        <v>92</v>
      </c>
    </row>
    <row r="66" spans="2:7" x14ac:dyDescent="0.35">
      <c r="B66" s="10" t="s">
        <v>2560</v>
      </c>
      <c r="C66" s="10">
        <f>COUNTIF(Cleaned_Data!$A:$A,$B66)</f>
        <v>10</v>
      </c>
      <c r="D66" s="15">
        <f>AVERAGEIF(Cleaned_Data!$A:$A,$B66,Cleaned_Data!$G:$G)</f>
        <v>113300.7</v>
      </c>
      <c r="E66" s="15">
        <f>_xlfn.MINIFS(Cleaned_Data!$G:$G,Cleaned_Data!$A:$A,$B66)</f>
        <v>70274</v>
      </c>
      <c r="F66" s="15">
        <f>_xlfn.MAXIFS(Cleaned_Data!$G:$G,Cleaned_Data!$A:$A,$B66)</f>
        <v>171170</v>
      </c>
      <c r="G66" s="10">
        <f>SUMIF(Cleaned_Data!$A:$A,$B66,Cleaned_Data!$F:$F)</f>
        <v>71</v>
      </c>
    </row>
    <row r="67" spans="2:7" x14ac:dyDescent="0.35">
      <c r="B67" s="10" t="s">
        <v>2846</v>
      </c>
      <c r="C67" s="10">
        <f>COUNTIF(Cleaned_Data!$A:$A,$B67)</f>
        <v>10</v>
      </c>
      <c r="D67" s="15">
        <f>AVERAGEIF(Cleaned_Data!$A:$A,$B67,Cleaned_Data!$G:$G)</f>
        <v>112705.1</v>
      </c>
      <c r="E67" s="15">
        <f>_xlfn.MINIFS(Cleaned_Data!$G:$G,Cleaned_Data!$A:$A,$B67)</f>
        <v>62337</v>
      </c>
      <c r="F67" s="15">
        <f>_xlfn.MAXIFS(Cleaned_Data!$G:$G,Cleaned_Data!$A:$A,$B67)</f>
        <v>162688</v>
      </c>
      <c r="G67" s="10">
        <f>SUMIF(Cleaned_Data!$A:$A,$B67,Cleaned_Data!$F:$F)</f>
        <v>103</v>
      </c>
    </row>
    <row r="68" spans="2:7" x14ac:dyDescent="0.35">
      <c r="B68" s="10" t="s">
        <v>959</v>
      </c>
      <c r="C68" s="10">
        <f>COUNTIF(Cleaned_Data!$A:$A,$B68)</f>
        <v>10</v>
      </c>
      <c r="D68" s="15">
        <f>AVERAGEIF(Cleaned_Data!$A:$A,$B68,Cleaned_Data!$G:$G)</f>
        <v>112111</v>
      </c>
      <c r="E68" s="15">
        <f>_xlfn.MINIFS(Cleaned_Data!$G:$G,Cleaned_Data!$A:$A,$B68)</f>
        <v>43597</v>
      </c>
      <c r="F68" s="15">
        <f>_xlfn.MAXIFS(Cleaned_Data!$G:$G,Cleaned_Data!$A:$A,$B68)</f>
        <v>213233</v>
      </c>
      <c r="G68" s="10">
        <f>SUMIF(Cleaned_Data!$A:$A,$B68,Cleaned_Data!$F:$F)</f>
        <v>127</v>
      </c>
    </row>
    <row r="69" spans="2:7" x14ac:dyDescent="0.35">
      <c r="B69" s="10" t="s">
        <v>931</v>
      </c>
      <c r="C69" s="10">
        <f>COUNTIF(Cleaned_Data!$A:$A,$B69)</f>
        <v>10</v>
      </c>
      <c r="D69" s="15">
        <f>AVERAGEIF(Cleaned_Data!$A:$A,$B69,Cleaned_Data!$G:$G)</f>
        <v>111301.3</v>
      </c>
      <c r="E69" s="15">
        <f>_xlfn.MINIFS(Cleaned_Data!$G:$G,Cleaned_Data!$A:$A,$B69)</f>
        <v>44091</v>
      </c>
      <c r="F69" s="15">
        <f>_xlfn.MAXIFS(Cleaned_Data!$G:$G,Cleaned_Data!$A:$A,$B69)</f>
        <v>186526</v>
      </c>
      <c r="G69" s="10">
        <f>SUMIF(Cleaned_Data!$A:$A,$B69,Cleaned_Data!$F:$F)</f>
        <v>112</v>
      </c>
    </row>
    <row r="70" spans="2:7" x14ac:dyDescent="0.35">
      <c r="B70" s="10" t="s">
        <v>1325</v>
      </c>
      <c r="C70" s="10">
        <f>COUNTIF(Cleaned_Data!$A:$A,$B70)</f>
        <v>10</v>
      </c>
      <c r="D70" s="15">
        <f>AVERAGEIF(Cleaned_Data!$A:$A,$B70,Cleaned_Data!$G:$G)</f>
        <v>110339.93999999999</v>
      </c>
      <c r="E70" s="15">
        <f>_xlfn.MINIFS(Cleaned_Data!$G:$G,Cleaned_Data!$A:$A,$B70)</f>
        <v>33030.400000000001</v>
      </c>
      <c r="F70" s="15">
        <f>_xlfn.MAXIFS(Cleaned_Data!$G:$G,Cleaned_Data!$A:$A,$B70)</f>
        <v>204603</v>
      </c>
      <c r="G70" s="10">
        <f>SUMIF(Cleaned_Data!$A:$A,$B70,Cleaned_Data!$F:$F)</f>
        <v>63</v>
      </c>
    </row>
    <row r="71" spans="2:7" x14ac:dyDescent="0.35">
      <c r="B71" s="10" t="s">
        <v>822</v>
      </c>
      <c r="C71" s="10">
        <f>COUNTIF(Cleaned_Data!$A:$A,$B71)</f>
        <v>10</v>
      </c>
      <c r="D71" s="15">
        <f>AVERAGEIF(Cleaned_Data!$A:$A,$B71,Cleaned_Data!$G:$G)</f>
        <v>109396</v>
      </c>
      <c r="E71" s="15">
        <f>_xlfn.MINIFS(Cleaned_Data!$G:$G,Cleaned_Data!$A:$A,$B71)</f>
        <v>57311</v>
      </c>
      <c r="F71" s="15">
        <f>_xlfn.MAXIFS(Cleaned_Data!$G:$G,Cleaned_Data!$A:$A,$B71)</f>
        <v>182795</v>
      </c>
      <c r="G71" s="10">
        <f>SUMIF(Cleaned_Data!$A:$A,$B71,Cleaned_Data!$F:$F)</f>
        <v>102</v>
      </c>
    </row>
    <row r="72" spans="2:7" x14ac:dyDescent="0.35">
      <c r="B72" s="10" t="s">
        <v>1423</v>
      </c>
      <c r="C72" s="10">
        <f>COUNTIF(Cleaned_Data!$A:$A,$B72)</f>
        <v>10</v>
      </c>
      <c r="D72" s="15">
        <f>AVERAGEIF(Cleaned_Data!$A:$A,$B72,Cleaned_Data!$G:$G)</f>
        <v>103647.6</v>
      </c>
      <c r="E72" s="15">
        <f>_xlfn.MINIFS(Cleaned_Data!$G:$G,Cleaned_Data!$A:$A,$B72)</f>
        <v>56911</v>
      </c>
      <c r="F72" s="15">
        <f>_xlfn.MAXIFS(Cleaned_Data!$G:$G,Cleaned_Data!$A:$A,$B72)</f>
        <v>166930</v>
      </c>
      <c r="G72" s="10">
        <f>SUMIF(Cleaned_Data!$A:$A,$B72,Cleaned_Data!$F:$F)</f>
        <v>314</v>
      </c>
    </row>
    <row r="73" spans="2:7" x14ac:dyDescent="0.35">
      <c r="B73" s="10" t="s">
        <v>2793</v>
      </c>
      <c r="C73" s="10">
        <f>COUNTIF(Cleaned_Data!$A:$A,$B73)</f>
        <v>10</v>
      </c>
      <c r="D73" s="15">
        <f>AVERAGEIF(Cleaned_Data!$A:$A,$B73,Cleaned_Data!$G:$G)</f>
        <v>103410.4</v>
      </c>
      <c r="E73" s="15">
        <f>_xlfn.MINIFS(Cleaned_Data!$G:$G,Cleaned_Data!$A:$A,$B73)</f>
        <v>62919</v>
      </c>
      <c r="F73" s="15">
        <f>_xlfn.MAXIFS(Cleaned_Data!$G:$G,Cleaned_Data!$A:$A,$B73)</f>
        <v>187127</v>
      </c>
      <c r="G73" s="10">
        <f>SUMIF(Cleaned_Data!$A:$A,$B73,Cleaned_Data!$F:$F)</f>
        <v>174</v>
      </c>
    </row>
    <row r="74" spans="2:7" x14ac:dyDescent="0.35">
      <c r="B74" s="10" t="s">
        <v>233</v>
      </c>
      <c r="C74" s="10">
        <f>COUNTIF(Cleaned_Data!$A:$A,$B74)</f>
        <v>10</v>
      </c>
      <c r="D74" s="15">
        <f>AVERAGEIF(Cleaned_Data!$A:$A,$B74,Cleaned_Data!$G:$G)</f>
        <v>102635.8</v>
      </c>
      <c r="E74" s="15">
        <f>_xlfn.MINIFS(Cleaned_Data!$G:$G,Cleaned_Data!$A:$A,$B74)</f>
        <v>60587</v>
      </c>
      <c r="F74" s="15">
        <f>_xlfn.MAXIFS(Cleaned_Data!$G:$G,Cleaned_Data!$A:$A,$B74)</f>
        <v>191558</v>
      </c>
      <c r="G74" s="10">
        <f>SUMIF(Cleaned_Data!$A:$A,$B74,Cleaned_Data!$F:$F)</f>
        <v>73</v>
      </c>
    </row>
    <row r="75" spans="2:7" x14ac:dyDescent="0.35">
      <c r="B75" s="10" t="s">
        <v>2662</v>
      </c>
      <c r="C75" s="10">
        <f>COUNTIF(Cleaned_Data!$A:$A,$B75)</f>
        <v>10</v>
      </c>
      <c r="D75" s="15">
        <f>AVERAGEIF(Cleaned_Data!$A:$A,$B75,Cleaned_Data!$G:$G)</f>
        <v>97756.5</v>
      </c>
      <c r="E75" s="15">
        <f>_xlfn.MINIFS(Cleaned_Data!$G:$G,Cleaned_Data!$A:$A,$B75)</f>
        <v>51563.199999999997</v>
      </c>
      <c r="F75" s="15">
        <f>_xlfn.MAXIFS(Cleaned_Data!$G:$G,Cleaned_Data!$A:$A,$B75)</f>
        <v>228609</v>
      </c>
      <c r="G75" s="10">
        <f>SUMIF(Cleaned_Data!$A:$A,$B75,Cleaned_Data!$F:$F)</f>
        <v>425</v>
      </c>
    </row>
    <row r="76" spans="2:7" x14ac:dyDescent="0.35">
      <c r="B76" s="10" t="s">
        <v>1142</v>
      </c>
      <c r="C76" s="10">
        <f>COUNTIF(Cleaned_Data!$A:$A,$B76)</f>
        <v>10</v>
      </c>
      <c r="D76" s="15">
        <f>AVERAGEIF(Cleaned_Data!$A:$A,$B76,Cleaned_Data!$G:$G)</f>
        <v>96650.7</v>
      </c>
      <c r="E76" s="15">
        <f>_xlfn.MINIFS(Cleaned_Data!$G:$G,Cleaned_Data!$A:$A,$B76)</f>
        <v>65224</v>
      </c>
      <c r="F76" s="15">
        <f>_xlfn.MAXIFS(Cleaned_Data!$G:$G,Cleaned_Data!$A:$A,$B76)</f>
        <v>127149</v>
      </c>
      <c r="G76" s="10">
        <f>SUMIF(Cleaned_Data!$A:$A,$B76,Cleaned_Data!$F:$F)</f>
        <v>70</v>
      </c>
    </row>
    <row r="77" spans="2:7" x14ac:dyDescent="0.35">
      <c r="B77" s="10" t="s">
        <v>2484</v>
      </c>
      <c r="C77" s="10">
        <f>COUNTIF(Cleaned_Data!$A:$A,$B77)</f>
        <v>10</v>
      </c>
      <c r="D77" s="15">
        <f>AVERAGEIF(Cleaned_Data!$A:$A,$B77,Cleaned_Data!$G:$G)</f>
        <v>93875.3</v>
      </c>
      <c r="E77" s="15">
        <f>_xlfn.MINIFS(Cleaned_Data!$G:$G,Cleaned_Data!$A:$A,$B77)</f>
        <v>62831</v>
      </c>
      <c r="F77" s="15">
        <f>_xlfn.MAXIFS(Cleaned_Data!$G:$G,Cleaned_Data!$A:$A,$B77)</f>
        <v>135675</v>
      </c>
      <c r="G77" s="10">
        <f>SUMIF(Cleaned_Data!$A:$A,$B77,Cleaned_Data!$F:$F)</f>
        <v>84</v>
      </c>
    </row>
    <row r="78" spans="2:7" x14ac:dyDescent="0.35">
      <c r="B78" s="10" t="s">
        <v>790</v>
      </c>
      <c r="C78" s="10">
        <f>COUNTIF(Cleaned_Data!$A:$A,$B78)</f>
        <v>10</v>
      </c>
      <c r="D78" s="15">
        <f>AVERAGEIF(Cleaned_Data!$A:$A,$B78,Cleaned_Data!$G:$G)</f>
        <v>93420.6</v>
      </c>
      <c r="E78" s="15">
        <f>_xlfn.MINIFS(Cleaned_Data!$G:$G,Cleaned_Data!$A:$A,$B78)</f>
        <v>51627</v>
      </c>
      <c r="F78" s="15">
        <f>_xlfn.MAXIFS(Cleaned_Data!$G:$G,Cleaned_Data!$A:$A,$B78)</f>
        <v>126828</v>
      </c>
      <c r="G78" s="10">
        <f>SUMIF(Cleaned_Data!$A:$A,$B78,Cleaned_Data!$F:$F)</f>
        <v>189</v>
      </c>
    </row>
    <row r="79" spans="2:7" x14ac:dyDescent="0.35">
      <c r="B79" s="10" t="s">
        <v>1013</v>
      </c>
      <c r="C79" s="10">
        <f>COUNTIF(Cleaned_Data!$A:$A,$B79)</f>
        <v>10</v>
      </c>
      <c r="D79" s="15">
        <f>AVERAGEIF(Cleaned_Data!$A:$A,$B79,Cleaned_Data!$G:$G)</f>
        <v>92669.1</v>
      </c>
      <c r="E79" s="15">
        <f>_xlfn.MINIFS(Cleaned_Data!$G:$G,Cleaned_Data!$A:$A,$B79)</f>
        <v>30264</v>
      </c>
      <c r="F79" s="15">
        <f>_xlfn.MAXIFS(Cleaned_Data!$G:$G,Cleaned_Data!$A:$A,$B79)</f>
        <v>163696</v>
      </c>
      <c r="G79" s="10">
        <f>SUMIF(Cleaned_Data!$A:$A,$B79,Cleaned_Data!$F:$F)</f>
        <v>102</v>
      </c>
    </row>
    <row r="80" spans="2:7" x14ac:dyDescent="0.35">
      <c r="B80" s="10" t="s">
        <v>2182</v>
      </c>
      <c r="C80" s="10">
        <f>COUNTIF(Cleaned_Data!$A:$A,$B80)</f>
        <v>10</v>
      </c>
      <c r="D80" s="15">
        <f>AVERAGEIF(Cleaned_Data!$A:$A,$B80,Cleaned_Data!$G:$G)</f>
        <v>91743.18</v>
      </c>
      <c r="E80" s="15">
        <f>_xlfn.MINIFS(Cleaned_Data!$G:$G,Cleaned_Data!$A:$A,$B80)</f>
        <v>32219.200000000001</v>
      </c>
      <c r="F80" s="15">
        <f>_xlfn.MAXIFS(Cleaned_Data!$G:$G,Cleaned_Data!$A:$A,$B80)</f>
        <v>181536</v>
      </c>
      <c r="G80" s="10">
        <f>SUMIF(Cleaned_Data!$A:$A,$B80,Cleaned_Data!$F:$F)</f>
        <v>431</v>
      </c>
    </row>
    <row r="81" spans="2:7" x14ac:dyDescent="0.35">
      <c r="B81" s="10" t="s">
        <v>1723</v>
      </c>
      <c r="C81" s="10">
        <f>COUNTIF(Cleaned_Data!$A:$A,$B81)</f>
        <v>10</v>
      </c>
      <c r="D81" s="15">
        <f>AVERAGEIF(Cleaned_Data!$A:$A,$B81,Cleaned_Data!$G:$G)</f>
        <v>90047.08</v>
      </c>
      <c r="E81" s="15">
        <f>_xlfn.MINIFS(Cleaned_Data!$G:$G,Cleaned_Data!$A:$A,$B81)</f>
        <v>29806.400000000001</v>
      </c>
      <c r="F81" s="15">
        <f>_xlfn.MAXIFS(Cleaned_Data!$G:$G,Cleaned_Data!$A:$A,$B81)</f>
        <v>164380</v>
      </c>
      <c r="G81" s="10">
        <f>SUMIF(Cleaned_Data!$A:$A,$B81,Cleaned_Data!$F:$F)</f>
        <v>85</v>
      </c>
    </row>
    <row r="82" spans="2:7" x14ac:dyDescent="0.35">
      <c r="B82" s="10" t="s">
        <v>1484</v>
      </c>
      <c r="C82" s="10">
        <f>COUNTIF(Cleaned_Data!$A:$A,$B82)</f>
        <v>10</v>
      </c>
      <c r="D82" s="15">
        <f>AVERAGEIF(Cleaned_Data!$A:$A,$B82,Cleaned_Data!$G:$G)</f>
        <v>89877.1</v>
      </c>
      <c r="E82" s="15">
        <f>_xlfn.MINIFS(Cleaned_Data!$G:$G,Cleaned_Data!$A:$A,$B82)</f>
        <v>59006</v>
      </c>
      <c r="F82" s="15">
        <f>_xlfn.MAXIFS(Cleaned_Data!$G:$G,Cleaned_Data!$A:$A,$B82)</f>
        <v>176537</v>
      </c>
      <c r="G82" s="10">
        <f>SUMIF(Cleaned_Data!$A:$A,$B82,Cleaned_Data!$F:$F)</f>
        <v>175</v>
      </c>
    </row>
    <row r="83" spans="2:7" x14ac:dyDescent="0.35">
      <c r="B83" s="10" t="s">
        <v>2397</v>
      </c>
      <c r="C83" s="10">
        <f>COUNTIF(Cleaned_Data!$A:$A,$B83)</f>
        <v>10</v>
      </c>
      <c r="D83" s="15">
        <f>AVERAGEIF(Cleaned_Data!$A:$A,$B83,Cleaned_Data!$G:$G)</f>
        <v>88331.199999999997</v>
      </c>
      <c r="E83" s="15">
        <f>_xlfn.MINIFS(Cleaned_Data!$G:$G,Cleaned_Data!$A:$A,$B83)</f>
        <v>52441</v>
      </c>
      <c r="F83" s="15">
        <f>_xlfn.MAXIFS(Cleaned_Data!$G:$G,Cleaned_Data!$A:$A,$B83)</f>
        <v>143073</v>
      </c>
      <c r="G83" s="10">
        <f>SUMIF(Cleaned_Data!$A:$A,$B83,Cleaned_Data!$F:$F)</f>
        <v>128</v>
      </c>
    </row>
    <row r="84" spans="2:7" x14ac:dyDescent="0.35">
      <c r="B84" s="10" t="s">
        <v>417</v>
      </c>
      <c r="C84" s="10">
        <f>COUNTIF(Cleaned_Data!$A:$A,$B84)</f>
        <v>10</v>
      </c>
      <c r="D84" s="15">
        <f>AVERAGEIF(Cleaned_Data!$A:$A,$B84,Cleaned_Data!$G:$G)</f>
        <v>80211.38</v>
      </c>
      <c r="E84" s="15">
        <f>_xlfn.MINIFS(Cleaned_Data!$G:$G,Cleaned_Data!$A:$A,$B84)</f>
        <v>34236.800000000003</v>
      </c>
      <c r="F84" s="15">
        <f>_xlfn.MAXIFS(Cleaned_Data!$G:$G,Cleaned_Data!$A:$A,$B84)</f>
        <v>220157</v>
      </c>
      <c r="G84" s="10">
        <f>SUMIF(Cleaned_Data!$A:$A,$B84,Cleaned_Data!$F:$F)</f>
        <v>434</v>
      </c>
    </row>
    <row r="85" spans="2:7" x14ac:dyDescent="0.35">
      <c r="B85" s="10" t="s">
        <v>1977</v>
      </c>
      <c r="C85" s="10">
        <f>COUNTIF(Cleaned_Data!$A:$A,$B85)</f>
        <v>9</v>
      </c>
      <c r="D85" s="15">
        <f>AVERAGEIF(Cleaned_Data!$A:$A,$B85,Cleaned_Data!$G:$G)</f>
        <v>79588.022222222236</v>
      </c>
      <c r="E85" s="15">
        <f>_xlfn.MINIFS(Cleaned_Data!$G:$G,Cleaned_Data!$A:$A,$B85)</f>
        <v>42328</v>
      </c>
      <c r="F85" s="15">
        <f>_xlfn.MAXIFS(Cleaned_Data!$G:$G,Cleaned_Data!$A:$A,$B85)</f>
        <v>142303</v>
      </c>
      <c r="G85" s="10">
        <f>SUMIF(Cleaned_Data!$A:$A,$B85,Cleaned_Data!$F:$F)</f>
        <v>9</v>
      </c>
    </row>
    <row r="86" spans="2:7" x14ac:dyDescent="0.35">
      <c r="B86" s="10" t="s">
        <v>898</v>
      </c>
      <c r="C86" s="10">
        <f>COUNTIF(Cleaned_Data!$A:$A,$B86)</f>
        <v>10</v>
      </c>
      <c r="D86" s="15">
        <f>AVERAGEIF(Cleaned_Data!$A:$A,$B86,Cleaned_Data!$G:$G)</f>
        <v>76772.799999999988</v>
      </c>
      <c r="E86" s="15">
        <f>_xlfn.MINIFS(Cleaned_Data!$G:$G,Cleaned_Data!$A:$A,$B86)</f>
        <v>47299.199999999997</v>
      </c>
      <c r="F86" s="15">
        <f>_xlfn.MAXIFS(Cleaned_Data!$G:$G,Cleaned_Data!$A:$A,$B86)</f>
        <v>150009.60000000001</v>
      </c>
      <c r="G86" s="10">
        <f>SUMIF(Cleaned_Data!$A:$A,$B86,Cleaned_Data!$F:$F)</f>
        <v>26</v>
      </c>
    </row>
    <row r="87" spans="2:7" x14ac:dyDescent="0.35">
      <c r="B87" s="10" t="s">
        <v>1222</v>
      </c>
      <c r="C87" s="10">
        <f>COUNTIF(Cleaned_Data!$A:$A,$B87)</f>
        <v>10</v>
      </c>
      <c r="D87" s="15">
        <f>AVERAGEIF(Cleaned_Data!$A:$A,$B87,Cleaned_Data!$G:$G)</f>
        <v>75531.88</v>
      </c>
      <c r="E87" s="15">
        <f>_xlfn.MINIFS(Cleaned_Data!$G:$G,Cleaned_Data!$A:$A,$B87)</f>
        <v>43638.400000000001</v>
      </c>
      <c r="F87" s="15">
        <f>_xlfn.MAXIFS(Cleaned_Data!$G:$G,Cleaned_Data!$A:$A,$B87)</f>
        <v>105032</v>
      </c>
      <c r="G87" s="10">
        <f>SUMIF(Cleaned_Data!$A:$A,$B87,Cleaned_Data!$F:$F)</f>
        <v>108</v>
      </c>
    </row>
    <row r="88" spans="2:7" x14ac:dyDescent="0.35">
      <c r="B88" s="10" t="s">
        <v>1836</v>
      </c>
      <c r="C88" s="10">
        <f>COUNTIF(Cleaned_Data!$A:$A,$B88)</f>
        <v>10</v>
      </c>
      <c r="D88" s="15">
        <f>AVERAGEIF(Cleaned_Data!$A:$A,$B88,Cleaned_Data!$G:$G)</f>
        <v>75417.48000000001</v>
      </c>
      <c r="E88" s="15">
        <f>_xlfn.MINIFS(Cleaned_Data!$G:$G,Cleaned_Data!$A:$A,$B88)</f>
        <v>42452.800000000003</v>
      </c>
      <c r="F88" s="15">
        <f>_xlfn.MAXIFS(Cleaned_Data!$G:$G,Cleaned_Data!$A:$A,$B88)</f>
        <v>129873</v>
      </c>
      <c r="G88" s="10">
        <f>SUMIF(Cleaned_Data!$A:$A,$B88,Cleaned_Data!$F:$F)</f>
        <v>46</v>
      </c>
    </row>
    <row r="89" spans="2:7" x14ac:dyDescent="0.35">
      <c r="B89" s="10" t="s">
        <v>1955</v>
      </c>
      <c r="C89" s="10">
        <f>COUNTIF(Cleaned_Data!$A:$A,$B89)</f>
        <v>10</v>
      </c>
      <c r="D89" s="15">
        <f>AVERAGEIF(Cleaned_Data!$A:$A,$B89,Cleaned_Data!$G:$G)</f>
        <v>74996.51999999999</v>
      </c>
      <c r="E89" s="15">
        <f>_xlfn.MINIFS(Cleaned_Data!$G:$G,Cleaned_Data!$A:$A,$B89)</f>
        <v>15000</v>
      </c>
      <c r="F89" s="15">
        <f>_xlfn.MAXIFS(Cleaned_Data!$G:$G,Cleaned_Data!$A:$A,$B89)</f>
        <v>145515</v>
      </c>
      <c r="G89" s="10">
        <f>SUMIF(Cleaned_Data!$A:$A,$B89,Cleaned_Data!$F:$F)</f>
        <v>50</v>
      </c>
    </row>
    <row r="90" spans="2:7" x14ac:dyDescent="0.35">
      <c r="B90" s="10" t="s">
        <v>2688</v>
      </c>
      <c r="C90" s="10">
        <f>COUNTIF(Cleaned_Data!$A:$A,$B90)</f>
        <v>10</v>
      </c>
      <c r="D90" s="15">
        <f>AVERAGEIF(Cleaned_Data!$A:$A,$B90,Cleaned_Data!$G:$G)</f>
        <v>72067.839999999997</v>
      </c>
      <c r="E90" s="15">
        <f>_xlfn.MINIFS(Cleaned_Data!$G:$G,Cleaned_Data!$A:$A,$B90)</f>
        <v>37585.599999999999</v>
      </c>
      <c r="F90" s="15">
        <f>_xlfn.MAXIFS(Cleaned_Data!$G:$G,Cleaned_Data!$A:$A,$B90)</f>
        <v>149427.20000000001</v>
      </c>
      <c r="G90" s="10">
        <f>SUMIF(Cleaned_Data!$A:$A,$B90,Cleaned_Data!$F:$F)</f>
        <v>198</v>
      </c>
    </row>
    <row r="91" spans="2:7" x14ac:dyDescent="0.35">
      <c r="B91" s="10" t="s">
        <v>638</v>
      </c>
      <c r="C91" s="10">
        <f>COUNTIF(Cleaned_Data!$A:$A,$B91)</f>
        <v>10</v>
      </c>
      <c r="D91" s="15">
        <f>AVERAGEIF(Cleaned_Data!$A:$A,$B91,Cleaned_Data!$G:$G)</f>
        <v>71860.759999999995</v>
      </c>
      <c r="E91" s="15">
        <f>_xlfn.MINIFS(Cleaned_Data!$G:$G,Cleaned_Data!$A:$A,$B91)</f>
        <v>42182.400000000001</v>
      </c>
      <c r="F91" s="15">
        <f>_xlfn.MAXIFS(Cleaned_Data!$G:$G,Cleaned_Data!$A:$A,$B91)</f>
        <v>132247</v>
      </c>
      <c r="G91" s="10">
        <f>SUMIF(Cleaned_Data!$A:$A,$B91,Cleaned_Data!$F:$F)</f>
        <v>215</v>
      </c>
    </row>
    <row r="92" spans="2:7" x14ac:dyDescent="0.35">
      <c r="B92" s="10" t="s">
        <v>2709</v>
      </c>
      <c r="C92" s="10">
        <f>COUNTIF(Cleaned_Data!$A:$A,$B92)</f>
        <v>10</v>
      </c>
      <c r="D92" s="15">
        <f>AVERAGEIF(Cleaned_Data!$A:$A,$B92,Cleaned_Data!$G:$G)</f>
        <v>71032</v>
      </c>
      <c r="E92" s="15">
        <f>_xlfn.MINIFS(Cleaned_Data!$G:$G,Cleaned_Data!$A:$A,$B92)</f>
        <v>34424</v>
      </c>
      <c r="F92" s="15">
        <f>_xlfn.MAXIFS(Cleaned_Data!$G:$G,Cleaned_Data!$A:$A,$B92)</f>
        <v>154731.20000000001</v>
      </c>
      <c r="G92" s="10">
        <f>SUMIF(Cleaned_Data!$A:$A,$B92,Cleaned_Data!$F:$F)</f>
        <v>350</v>
      </c>
    </row>
    <row r="93" spans="2:7" x14ac:dyDescent="0.35">
      <c r="B93" s="10" t="s">
        <v>38</v>
      </c>
      <c r="C93" s="10">
        <f>COUNTIF(Cleaned_Data!$A:$A,$B93)</f>
        <v>10</v>
      </c>
      <c r="D93" s="15">
        <f>AVERAGEIF(Cleaned_Data!$A:$A,$B93,Cleaned_Data!$G:$G)</f>
        <v>69892.159999999989</v>
      </c>
      <c r="E93" s="15">
        <f>_xlfn.MINIFS(Cleaned_Data!$G:$G,Cleaned_Data!$A:$A,$B93)</f>
        <v>33529.599999999999</v>
      </c>
      <c r="F93" s="15">
        <f>_xlfn.MAXIFS(Cleaned_Data!$G:$G,Cleaned_Data!$A:$A,$B93)</f>
        <v>133744</v>
      </c>
      <c r="G93" s="10">
        <f>SUMIF(Cleaned_Data!$A:$A,$B93,Cleaned_Data!$F:$F)</f>
        <v>1587</v>
      </c>
    </row>
    <row r="94" spans="2:7" x14ac:dyDescent="0.35">
      <c r="B94" s="10" t="s">
        <v>1934</v>
      </c>
      <c r="C94" s="10">
        <f>COUNTIF(Cleaned_Data!$A:$A,$B94)</f>
        <v>10</v>
      </c>
      <c r="D94" s="15">
        <f>AVERAGEIF(Cleaned_Data!$A:$A,$B94,Cleaned_Data!$G:$G)</f>
        <v>69536.479999999996</v>
      </c>
      <c r="E94" s="15">
        <f>_xlfn.MINIFS(Cleaned_Data!$G:$G,Cleaned_Data!$A:$A,$B94)</f>
        <v>34860.800000000003</v>
      </c>
      <c r="F94" s="15">
        <f>_xlfn.MAXIFS(Cleaned_Data!$G:$G,Cleaned_Data!$A:$A,$B94)</f>
        <v>142833.60000000001</v>
      </c>
      <c r="G94" s="10">
        <f>SUMIF(Cleaned_Data!$A:$A,$B94,Cleaned_Data!$F:$F)</f>
        <v>232</v>
      </c>
    </row>
    <row r="95" spans="2:7" x14ac:dyDescent="0.35">
      <c r="B95" s="10" t="s">
        <v>2102</v>
      </c>
      <c r="C95" s="10">
        <f>COUNTIF(Cleaned_Data!$A:$A,$B95)</f>
        <v>10</v>
      </c>
      <c r="D95" s="15">
        <f>AVERAGEIF(Cleaned_Data!$A:$A,$B95,Cleaned_Data!$G:$G)</f>
        <v>68925.139999999985</v>
      </c>
      <c r="E95" s="15">
        <f>_xlfn.MINIFS(Cleaned_Data!$G:$G,Cleaned_Data!$A:$A,$B95)</f>
        <v>27622.399999999998</v>
      </c>
      <c r="F95" s="15">
        <f>_xlfn.MAXIFS(Cleaned_Data!$G:$G,Cleaned_Data!$A:$A,$B95)</f>
        <v>254143</v>
      </c>
      <c r="G95" s="10">
        <f>SUMIF(Cleaned_Data!$A:$A,$B95,Cleaned_Data!$F:$F)</f>
        <v>102</v>
      </c>
    </row>
    <row r="96" spans="2:7" x14ac:dyDescent="0.35">
      <c r="B96" s="10" t="s">
        <v>337</v>
      </c>
      <c r="C96" s="10">
        <f>COUNTIF(Cleaned_Data!$A:$A,$B96)</f>
        <v>10</v>
      </c>
      <c r="D96" s="15">
        <f>AVERAGEIF(Cleaned_Data!$A:$A,$B96,Cleaned_Data!$G:$G)</f>
        <v>68533.919999999998</v>
      </c>
      <c r="E96" s="15">
        <f>_xlfn.MINIFS(Cleaned_Data!$G:$G,Cleaned_Data!$A:$A,$B96)</f>
        <v>57699.199999999997</v>
      </c>
      <c r="F96" s="15">
        <f>_xlfn.MAXIFS(Cleaned_Data!$G:$G,Cleaned_Data!$A:$A,$B96)</f>
        <v>78312</v>
      </c>
      <c r="G96" s="10">
        <f>SUMIF(Cleaned_Data!$A:$A,$B96,Cleaned_Data!$F:$F)</f>
        <v>317</v>
      </c>
    </row>
    <row r="97" spans="2:7" x14ac:dyDescent="0.35">
      <c r="B97" s="10" t="s">
        <v>1182</v>
      </c>
      <c r="C97" s="10">
        <f>COUNTIF(Cleaned_Data!$A:$A,$B97)</f>
        <v>10</v>
      </c>
      <c r="D97" s="15">
        <f>AVERAGEIF(Cleaned_Data!$A:$A,$B97,Cleaned_Data!$G:$G)</f>
        <v>66175.659999999989</v>
      </c>
      <c r="E97" s="15">
        <f>_xlfn.MINIFS(Cleaned_Data!$G:$G,Cleaned_Data!$A:$A,$B97)</f>
        <v>41974.400000000001</v>
      </c>
      <c r="F97" s="15">
        <f>_xlfn.MAXIFS(Cleaned_Data!$G:$G,Cleaned_Data!$A:$A,$B97)</f>
        <v>100843</v>
      </c>
      <c r="G97" s="10">
        <f>SUMIF(Cleaned_Data!$A:$A,$B97,Cleaned_Data!$F:$F)</f>
        <v>167</v>
      </c>
    </row>
    <row r="98" spans="2:7" x14ac:dyDescent="0.35">
      <c r="B98" s="10" t="s">
        <v>1360</v>
      </c>
      <c r="C98" s="10">
        <f>COUNTIF(Cleaned_Data!$A:$A,$B98)</f>
        <v>10</v>
      </c>
      <c r="D98" s="15">
        <f>AVERAGEIF(Cleaned_Data!$A:$A,$B98,Cleaned_Data!$G:$G)</f>
        <v>65780.86</v>
      </c>
      <c r="E98" s="15">
        <f>_xlfn.MINIFS(Cleaned_Data!$G:$G,Cleaned_Data!$A:$A,$B98)</f>
        <v>44475</v>
      </c>
      <c r="F98" s="15">
        <f>_xlfn.MAXIFS(Cleaned_Data!$G:$G,Cleaned_Data!$A:$A,$B98)</f>
        <v>82192</v>
      </c>
      <c r="G98" s="10">
        <f>SUMIF(Cleaned_Data!$A:$A,$B98,Cleaned_Data!$F:$F)</f>
        <v>90</v>
      </c>
    </row>
    <row r="99" spans="2:7" x14ac:dyDescent="0.35">
      <c r="B99" s="10" t="s">
        <v>2005</v>
      </c>
      <c r="C99" s="10">
        <f>COUNTIF(Cleaned_Data!$A:$A,$B99)</f>
        <v>10</v>
      </c>
      <c r="D99" s="15">
        <f>AVERAGEIF(Cleaned_Data!$A:$A,$B99,Cleaned_Data!$G:$G)</f>
        <v>65364.6</v>
      </c>
      <c r="E99" s="15">
        <f>_xlfn.MINIFS(Cleaned_Data!$G:$G,Cleaned_Data!$A:$A,$B99)</f>
        <v>45240</v>
      </c>
      <c r="F99" s="15">
        <f>_xlfn.MAXIFS(Cleaned_Data!$G:$G,Cleaned_Data!$A:$A,$B99)</f>
        <v>75013</v>
      </c>
      <c r="G99" s="10">
        <f>SUMIF(Cleaned_Data!$A:$A,$B99,Cleaned_Data!$F:$F)</f>
        <v>74</v>
      </c>
    </row>
    <row r="100" spans="2:7" x14ac:dyDescent="0.35">
      <c r="B100" s="10" t="s">
        <v>1886</v>
      </c>
      <c r="C100" s="10">
        <f>COUNTIF(Cleaned_Data!$A:$A,$B100)</f>
        <v>10</v>
      </c>
      <c r="D100" s="15">
        <f>AVERAGEIF(Cleaned_Data!$A:$A,$B100,Cleaned_Data!$G:$G)</f>
        <v>62034</v>
      </c>
      <c r="E100" s="15">
        <f>_xlfn.MINIFS(Cleaned_Data!$G:$G,Cleaned_Data!$A:$A,$B100)</f>
        <v>31200</v>
      </c>
      <c r="F100" s="15">
        <f>_xlfn.MAXIFS(Cleaned_Data!$G:$G,Cleaned_Data!$A:$A,$B100)</f>
        <v>116435</v>
      </c>
      <c r="G100" s="10">
        <f>SUMIF(Cleaned_Data!$A:$A,$B100,Cleaned_Data!$F:$F)</f>
        <v>196</v>
      </c>
    </row>
    <row r="101" spans="2:7" x14ac:dyDescent="0.35">
      <c r="B101" s="10" t="s">
        <v>1778</v>
      </c>
      <c r="C101" s="10">
        <f>COUNTIF(Cleaned_Data!$A:$A,$B101)</f>
        <v>10</v>
      </c>
      <c r="D101" s="15">
        <f>AVERAGEIF(Cleaned_Data!$A:$A,$B101,Cleaned_Data!$G:$G)</f>
        <v>59396.920000000006</v>
      </c>
      <c r="E101" s="15">
        <f>_xlfn.MINIFS(Cleaned_Data!$G:$G,Cleaned_Data!$A:$A,$B101)</f>
        <v>37356.800000000003</v>
      </c>
      <c r="F101" s="15">
        <f>_xlfn.MAXIFS(Cleaned_Data!$G:$G,Cleaned_Data!$A:$A,$B101)</f>
        <v>141629</v>
      </c>
      <c r="G101" s="10">
        <f>SUMIF(Cleaned_Data!$A:$A,$B101,Cleaned_Data!$F:$F)</f>
        <v>159</v>
      </c>
    </row>
    <row r="102" spans="2:7" x14ac:dyDescent="0.35">
      <c r="B102" s="10" t="s">
        <v>2328</v>
      </c>
      <c r="C102" s="10">
        <f>COUNTIF(Cleaned_Data!$A:$A,$B102)</f>
        <v>10</v>
      </c>
      <c r="D102" s="15">
        <f>AVERAGEIF(Cleaned_Data!$A:$A,$B102,Cleaned_Data!$G:$G)</f>
        <v>58703.4</v>
      </c>
      <c r="E102" s="15">
        <f>_xlfn.MINIFS(Cleaned_Data!$G:$G,Cleaned_Data!$A:$A,$B102)</f>
        <v>34278.400000000001</v>
      </c>
      <c r="F102" s="15">
        <f>_xlfn.MAXIFS(Cleaned_Data!$G:$G,Cleaned_Data!$A:$A,$B102)</f>
        <v>85468</v>
      </c>
      <c r="G102" s="10">
        <f>SUMIF(Cleaned_Data!$A:$A,$B102,Cleaned_Data!$F:$F)</f>
        <v>137</v>
      </c>
    </row>
    <row r="103" spans="2:7" x14ac:dyDescent="0.35">
      <c r="B103" s="10" t="s">
        <v>1861</v>
      </c>
      <c r="C103" s="10">
        <f>COUNTIF(Cleaned_Data!$A:$A,$B103)</f>
        <v>10</v>
      </c>
      <c r="D103" s="15">
        <f>AVERAGEIF(Cleaned_Data!$A:$A,$B103,Cleaned_Data!$G:$G)</f>
        <v>57614.319999999992</v>
      </c>
      <c r="E103" s="15">
        <f>_xlfn.MINIFS(Cleaned_Data!$G:$G,Cleaned_Data!$A:$A,$B103)</f>
        <v>18720</v>
      </c>
      <c r="F103" s="15">
        <f>_xlfn.MAXIFS(Cleaned_Data!$G:$G,Cleaned_Data!$A:$A,$B103)</f>
        <v>158211</v>
      </c>
      <c r="G103" s="10">
        <f>SUMIF(Cleaned_Data!$A:$A,$B103,Cleaned_Data!$F:$F)</f>
        <v>35</v>
      </c>
    </row>
    <row r="104" spans="2:7" x14ac:dyDescent="0.35">
      <c r="B104" s="10" t="s">
        <v>2348</v>
      </c>
      <c r="C104" s="10">
        <f>COUNTIF(Cleaned_Data!$A:$A,$B104)</f>
        <v>10</v>
      </c>
      <c r="D104" s="15">
        <f>AVERAGEIF(Cleaned_Data!$A:$A,$B104,Cleaned_Data!$G:$G)</f>
        <v>57420.479999999996</v>
      </c>
      <c r="E104" s="15">
        <f>_xlfn.MINIFS(Cleaned_Data!$G:$G,Cleaned_Data!$A:$A,$B104)</f>
        <v>20800</v>
      </c>
      <c r="F104" s="15">
        <f>_xlfn.MAXIFS(Cleaned_Data!$G:$G,Cleaned_Data!$A:$A,$B104)</f>
        <v>204360</v>
      </c>
      <c r="G104" s="10">
        <f>SUMIF(Cleaned_Data!$A:$A,$B104,Cleaned_Data!$F:$F)</f>
        <v>562</v>
      </c>
    </row>
    <row r="105" spans="2:7" x14ac:dyDescent="0.35">
      <c r="B105" s="10" t="s">
        <v>1523</v>
      </c>
      <c r="C105" s="10">
        <f>COUNTIF(Cleaned_Data!$A:$A,$B105)</f>
        <v>10</v>
      </c>
      <c r="D105" s="15">
        <f>AVERAGEIF(Cleaned_Data!$A:$A,$B105,Cleaned_Data!$G:$G)</f>
        <v>56338.92</v>
      </c>
      <c r="E105" s="15">
        <f>_xlfn.MINIFS(Cleaned_Data!$G:$G,Cleaned_Data!$A:$A,$B105)</f>
        <v>37374</v>
      </c>
      <c r="F105" s="15">
        <f>_xlfn.MAXIFS(Cleaned_Data!$G:$G,Cleaned_Data!$A:$A,$B105)</f>
        <v>84109</v>
      </c>
      <c r="G105" s="10">
        <f>SUMIF(Cleaned_Data!$A:$A,$B105,Cleaned_Data!$F:$F)</f>
        <v>83</v>
      </c>
    </row>
    <row r="106" spans="2:7" x14ac:dyDescent="0.35">
      <c r="B106" s="10" t="s">
        <v>2636</v>
      </c>
      <c r="C106" s="10">
        <f>COUNTIF(Cleaned_Data!$A:$A,$B106)</f>
        <v>10</v>
      </c>
      <c r="D106" s="15">
        <f>AVERAGEIF(Cleaned_Data!$A:$A,$B106,Cleaned_Data!$G:$G)</f>
        <v>54771.020000000004</v>
      </c>
      <c r="E106" s="15">
        <f>_xlfn.MINIFS(Cleaned_Data!$G:$G,Cleaned_Data!$A:$A,$B106)</f>
        <v>31782.399999999998</v>
      </c>
      <c r="F106" s="15">
        <f>_xlfn.MAXIFS(Cleaned_Data!$G:$G,Cleaned_Data!$A:$A,$B106)</f>
        <v>96172</v>
      </c>
      <c r="G106" s="10">
        <f>SUMIF(Cleaned_Data!$A:$A,$B106,Cleaned_Data!$F:$F)</f>
        <v>153</v>
      </c>
    </row>
    <row r="107" spans="2:7" x14ac:dyDescent="0.35">
      <c r="B107" s="10" t="s">
        <v>2031</v>
      </c>
      <c r="C107" s="10">
        <f>COUNTIF(Cleaned_Data!$A:$A,$B107)</f>
        <v>10</v>
      </c>
      <c r="D107" s="15">
        <f>AVERAGEIF(Cleaned_Data!$A:$A,$B107,Cleaned_Data!$G:$G)</f>
        <v>52540.44</v>
      </c>
      <c r="E107" s="15">
        <f>_xlfn.MINIFS(Cleaned_Data!$G:$G,Cleaned_Data!$A:$A,$B107)</f>
        <v>29350</v>
      </c>
      <c r="F107" s="15">
        <f>_xlfn.MAXIFS(Cleaned_Data!$G:$G,Cleaned_Data!$A:$A,$B107)</f>
        <v>84793</v>
      </c>
      <c r="G107" s="10">
        <f>SUMIF(Cleaned_Data!$A:$A,$B107,Cleaned_Data!$F:$F)</f>
        <v>153</v>
      </c>
    </row>
    <row r="108" spans="2:7" x14ac:dyDescent="0.35">
      <c r="B108" s="10" t="s">
        <v>2299</v>
      </c>
      <c r="C108" s="10">
        <f>COUNTIF(Cleaned_Data!$A:$A,$B108)</f>
        <v>10</v>
      </c>
      <c r="D108" s="15">
        <f>AVERAGEIF(Cleaned_Data!$A:$A,$B108,Cleaned_Data!$G:$G)</f>
        <v>51876.240000000005</v>
      </c>
      <c r="E108" s="15">
        <f>_xlfn.MINIFS(Cleaned_Data!$G:$G,Cleaned_Data!$A:$A,$B108)</f>
        <v>37377.599999999999</v>
      </c>
      <c r="F108" s="15">
        <f>_xlfn.MAXIFS(Cleaned_Data!$G:$G,Cleaned_Data!$A:$A,$B108)</f>
        <v>92196</v>
      </c>
      <c r="G108" s="10">
        <f>SUMIF(Cleaned_Data!$A:$A,$B108,Cleaned_Data!$F:$F)</f>
        <v>55</v>
      </c>
    </row>
    <row r="109" spans="2:7" x14ac:dyDescent="0.35">
      <c r="B109" s="10" t="s">
        <v>197</v>
      </c>
      <c r="C109" s="10">
        <f>COUNTIF(Cleaned_Data!$A:$A,$B109)</f>
        <v>10</v>
      </c>
      <c r="D109" s="15">
        <f>AVERAGEIF(Cleaned_Data!$A:$A,$B109,Cleaned_Data!$G:$G)</f>
        <v>50101.14</v>
      </c>
      <c r="E109" s="15">
        <f>_xlfn.MINIFS(Cleaned_Data!$G:$G,Cleaned_Data!$A:$A,$B109)</f>
        <v>30472</v>
      </c>
      <c r="F109" s="15">
        <f>_xlfn.MAXIFS(Cleaned_Data!$G:$G,Cleaned_Data!$A:$A,$B109)</f>
        <v>72109</v>
      </c>
      <c r="G109" s="10">
        <f>SUMIF(Cleaned_Data!$A:$A,$B109,Cleaned_Data!$F:$F)</f>
        <v>149</v>
      </c>
    </row>
    <row r="110" spans="2:7" x14ac:dyDescent="0.35">
      <c r="B110" s="10" t="s">
        <v>2534</v>
      </c>
      <c r="C110" s="10">
        <f>COUNTIF(Cleaned_Data!$A:$A,$B110)</f>
        <v>10</v>
      </c>
      <c r="D110" s="15">
        <f>AVERAGEIF(Cleaned_Data!$A:$A,$B110,Cleaned_Data!$G:$G)</f>
        <v>48262.240000000005</v>
      </c>
      <c r="E110" s="15">
        <f>_xlfn.MINIFS(Cleaned_Data!$G:$G,Cleaned_Data!$A:$A,$B110)</f>
        <v>34216</v>
      </c>
      <c r="F110" s="15">
        <f>_xlfn.MAXIFS(Cleaned_Data!$G:$G,Cleaned_Data!$A:$A,$B110)</f>
        <v>107057.59999999999</v>
      </c>
      <c r="G110" s="10">
        <f>SUMIF(Cleaned_Data!$A:$A,$B110,Cleaned_Data!$F:$F)</f>
        <v>83</v>
      </c>
    </row>
    <row r="111" spans="2:7" x14ac:dyDescent="0.35">
      <c r="B111" s="10" t="s">
        <v>1650</v>
      </c>
      <c r="C111" s="10">
        <f>COUNTIF(Cleaned_Data!$A:$A,$B111)</f>
        <v>10</v>
      </c>
      <c r="D111" s="15">
        <f>AVERAGEIF(Cleaned_Data!$A:$A,$B111,Cleaned_Data!$G:$G)</f>
        <v>47363.68</v>
      </c>
      <c r="E111" s="15">
        <f>_xlfn.MINIFS(Cleaned_Data!$G:$G,Cleaned_Data!$A:$A,$B111)</f>
        <v>23129.599999999999</v>
      </c>
      <c r="F111" s="15">
        <f>_xlfn.MAXIFS(Cleaned_Data!$G:$G,Cleaned_Data!$A:$A,$B111)</f>
        <v>72425.600000000006</v>
      </c>
      <c r="G111" s="10">
        <f>SUMIF(Cleaned_Data!$A:$A,$B111,Cleaned_Data!$F:$F)</f>
        <v>397</v>
      </c>
    </row>
    <row r="112" spans="2:7" x14ac:dyDescent="0.35">
      <c r="B112" s="10" t="s">
        <v>119</v>
      </c>
      <c r="C112" s="10">
        <f>COUNTIF(Cleaned_Data!$A:$A,$B112)</f>
        <v>10</v>
      </c>
      <c r="D112" s="15">
        <f>AVERAGEIF(Cleaned_Data!$A:$A,$B112,Cleaned_Data!$G:$G)</f>
        <v>46444.32</v>
      </c>
      <c r="E112" s="15">
        <f>_xlfn.MINIFS(Cleaned_Data!$G:$G,Cleaned_Data!$A:$A,$B112)</f>
        <v>28620.799999999999</v>
      </c>
      <c r="F112" s="15">
        <f>_xlfn.MAXIFS(Cleaned_Data!$G:$G,Cleaned_Data!$A:$A,$B112)</f>
        <v>77022.400000000009</v>
      </c>
      <c r="G112" s="10">
        <f>SUMIF(Cleaned_Data!$A:$A,$B112,Cleaned_Data!$F:$F)</f>
        <v>547</v>
      </c>
    </row>
    <row r="113" spans="2:7" x14ac:dyDescent="0.35">
      <c r="B113" s="10" t="s">
        <v>1619</v>
      </c>
      <c r="C113" s="10">
        <f>COUNTIF(Cleaned_Data!$A:$A,$B113)</f>
        <v>10</v>
      </c>
      <c r="D113" s="15">
        <f>AVERAGEIF(Cleaned_Data!$A:$A,$B113,Cleaned_Data!$G:$G)</f>
        <v>46439.72</v>
      </c>
      <c r="E113" s="15">
        <f>_xlfn.MINIFS(Cleaned_Data!$G:$G,Cleaned_Data!$A:$A,$B113)</f>
        <v>27934.399999999998</v>
      </c>
      <c r="F113" s="15">
        <f>_xlfn.MAXIFS(Cleaned_Data!$G:$G,Cleaned_Data!$A:$A,$B113)</f>
        <v>74834</v>
      </c>
      <c r="G113" s="10">
        <f>SUMIF(Cleaned_Data!$A:$A,$B113,Cleaned_Data!$F:$F)</f>
        <v>270</v>
      </c>
    </row>
    <row r="114" spans="2:7" x14ac:dyDescent="0.35">
      <c r="B114" s="10" t="s">
        <v>157</v>
      </c>
      <c r="C114" s="10">
        <f>COUNTIF(Cleaned_Data!$A:$A,$B114)</f>
        <v>10</v>
      </c>
      <c r="D114" s="15">
        <f>AVERAGEIF(Cleaned_Data!$A:$A,$B114,Cleaned_Data!$G:$G)</f>
        <v>45746.84</v>
      </c>
      <c r="E114" s="15">
        <f>_xlfn.MINIFS(Cleaned_Data!$G:$G,Cleaned_Data!$A:$A,$B114)</f>
        <v>22464</v>
      </c>
      <c r="F114" s="15">
        <f>_xlfn.MAXIFS(Cleaned_Data!$G:$G,Cleaned_Data!$A:$A,$B114)</f>
        <v>98502</v>
      </c>
      <c r="G114" s="10">
        <f>SUMIF(Cleaned_Data!$A:$A,$B114,Cleaned_Data!$F:$F)</f>
        <v>161</v>
      </c>
    </row>
    <row r="115" spans="2:7" x14ac:dyDescent="0.35">
      <c r="B115" s="10" t="s">
        <v>1390</v>
      </c>
      <c r="C115" s="10">
        <f>COUNTIF(Cleaned_Data!$A:$A,$B115)</f>
        <v>10</v>
      </c>
      <c r="D115" s="15">
        <f>AVERAGEIF(Cleaned_Data!$A:$A,$B115,Cleaned_Data!$G:$G)</f>
        <v>45041.440000000002</v>
      </c>
      <c r="E115" s="15">
        <f>_xlfn.MINIFS(Cleaned_Data!$G:$G,Cleaned_Data!$A:$A,$B115)</f>
        <v>33000</v>
      </c>
      <c r="F115" s="15">
        <f>_xlfn.MAXIFS(Cleaned_Data!$G:$G,Cleaned_Data!$A:$A,$B115)</f>
        <v>50003.199999999997</v>
      </c>
      <c r="G115" s="10">
        <f>SUMIF(Cleaned_Data!$A:$A,$B115,Cleaned_Data!$F:$F)</f>
        <v>53</v>
      </c>
    </row>
    <row r="116" spans="2:7" x14ac:dyDescent="0.35">
      <c r="B116" s="10" t="s">
        <v>1048</v>
      </c>
      <c r="C116" s="10">
        <f>COUNTIF(Cleaned_Data!$A:$A,$B116)</f>
        <v>10</v>
      </c>
      <c r="D116" s="15">
        <f>AVERAGEIF(Cleaned_Data!$A:$A,$B116,Cleaned_Data!$G:$G)</f>
        <v>44501.780000000006</v>
      </c>
      <c r="E116" s="15">
        <f>_xlfn.MINIFS(Cleaned_Data!$G:$G,Cleaned_Data!$A:$A,$B116)</f>
        <v>31761.599999999999</v>
      </c>
      <c r="F116" s="15">
        <f>_xlfn.MAXIFS(Cleaned_Data!$G:$G,Cleaned_Data!$A:$A,$B116)</f>
        <v>53853</v>
      </c>
      <c r="G116" s="10">
        <f>SUMIF(Cleaned_Data!$A:$A,$B116,Cleaned_Data!$F:$F)</f>
        <v>91</v>
      </c>
    </row>
    <row r="117" spans="2:7" x14ac:dyDescent="0.35">
      <c r="B117" s="10" t="s">
        <v>1121</v>
      </c>
      <c r="C117" s="10">
        <f>COUNTIF(Cleaned_Data!$A:$A,$B117)</f>
        <v>10</v>
      </c>
      <c r="D117" s="15">
        <f>AVERAGEIF(Cleaned_Data!$A:$A,$B117,Cleaned_Data!$G:$G)</f>
        <v>42246.159999999996</v>
      </c>
      <c r="E117" s="15">
        <f>_xlfn.MINIFS(Cleaned_Data!$G:$G,Cleaned_Data!$A:$A,$B117)</f>
        <v>29889.599999999999</v>
      </c>
      <c r="F117" s="15">
        <f>_xlfn.MAXIFS(Cleaned_Data!$G:$G,Cleaned_Data!$A:$A,$B117)</f>
        <v>79844</v>
      </c>
      <c r="G117" s="10">
        <f>SUMIF(Cleaned_Data!$A:$A,$B117,Cleaned_Data!$F:$F)</f>
        <v>288</v>
      </c>
    </row>
    <row r="118" spans="2:7" x14ac:dyDescent="0.35">
      <c r="B118" s="10" t="s">
        <v>1747</v>
      </c>
      <c r="C118" s="10">
        <f>COUNTIF(Cleaned_Data!$A:$A,$B118)</f>
        <v>10</v>
      </c>
      <c r="D118" s="15">
        <f>AVERAGEIF(Cleaned_Data!$A:$A,$B118,Cleaned_Data!$G:$G)</f>
        <v>41543.839999999997</v>
      </c>
      <c r="E118" s="15">
        <f>_xlfn.MINIFS(Cleaned_Data!$G:$G,Cleaned_Data!$A:$A,$B118)</f>
        <v>35817.599999999999</v>
      </c>
      <c r="F118" s="15">
        <f>_xlfn.MAXIFS(Cleaned_Data!$G:$G,Cleaned_Data!$A:$A,$B118)</f>
        <v>51334.400000000001</v>
      </c>
      <c r="G118" s="10">
        <f>SUMIF(Cleaned_Data!$A:$A,$B118,Cleaned_Data!$F:$F)</f>
        <v>980</v>
      </c>
    </row>
    <row r="119" spans="2:7" x14ac:dyDescent="0.35">
      <c r="B119" s="10" t="s">
        <v>78</v>
      </c>
      <c r="C119" s="10">
        <f>COUNTIF(Cleaned_Data!$A:$A,$B119)</f>
        <v>10</v>
      </c>
      <c r="D119" s="15">
        <f>AVERAGEIF(Cleaned_Data!$A:$A,$B119,Cleaned_Data!$G:$G)</f>
        <v>39682.240000000005</v>
      </c>
      <c r="E119" s="15">
        <f>_xlfn.MINIFS(Cleaned_Data!$G:$G,Cleaned_Data!$A:$A,$B119)</f>
        <v>35568</v>
      </c>
      <c r="F119" s="15">
        <f>_xlfn.MAXIFS(Cleaned_Data!$G:$G,Cleaned_Data!$A:$A,$B119)</f>
        <v>52312</v>
      </c>
      <c r="G119" s="10">
        <f>SUMIF(Cleaned_Data!$A:$A,$B119,Cleaned_Data!$F:$F)</f>
        <v>506</v>
      </c>
    </row>
    <row r="120" spans="2:7" x14ac:dyDescent="0.35">
      <c r="B120" s="10" t="s">
        <v>1804</v>
      </c>
      <c r="C120" s="10">
        <f>COUNTIF(Cleaned_Data!$A:$A,$B120)</f>
        <v>10</v>
      </c>
      <c r="D120" s="15">
        <f>AVERAGEIF(Cleaned_Data!$A:$A,$B120,Cleaned_Data!$G:$G)</f>
        <v>39580.320000000007</v>
      </c>
      <c r="E120" s="15">
        <f>_xlfn.MINIFS(Cleaned_Data!$G:$G,Cleaned_Data!$A:$A,$B120)</f>
        <v>30326.400000000001</v>
      </c>
      <c r="F120" s="15">
        <f>_xlfn.MAXIFS(Cleaned_Data!$G:$G,Cleaned_Data!$A:$A,$B120)</f>
        <v>50648</v>
      </c>
      <c r="G120" s="10">
        <f>SUMIF(Cleaned_Data!$A:$A,$B120,Cleaned_Data!$F:$F)</f>
        <v>3586</v>
      </c>
    </row>
    <row r="121" spans="2:7" x14ac:dyDescent="0.35">
      <c r="B121" s="10" t="s">
        <v>274</v>
      </c>
      <c r="C121" s="10">
        <f>COUNTIF(Cleaned_Data!$A:$A,$B121)</f>
        <v>10</v>
      </c>
      <c r="D121" s="15">
        <f>AVERAGEIF(Cleaned_Data!$A:$A,$B121,Cleaned_Data!$G:$G)</f>
        <v>39128.879999999997</v>
      </c>
      <c r="E121" s="15">
        <f>_xlfn.MINIFS(Cleaned_Data!$G:$G,Cleaned_Data!$A:$A,$B121)</f>
        <v>32136</v>
      </c>
      <c r="F121" s="15">
        <f>_xlfn.MAXIFS(Cleaned_Data!$G:$G,Cleaned_Data!$A:$A,$B121)</f>
        <v>74900</v>
      </c>
      <c r="G121" s="10">
        <f>SUMIF(Cleaned_Data!$A:$A,$B121,Cleaned_Data!$F:$F)</f>
        <v>234</v>
      </c>
    </row>
    <row r="122" spans="2:7" x14ac:dyDescent="0.35">
      <c r="B122" s="10" t="s">
        <v>1913</v>
      </c>
      <c r="C122" s="10">
        <f>COUNTIF(Cleaned_Data!$A:$A,$B122)</f>
        <v>10</v>
      </c>
      <c r="D122" s="15">
        <f>AVERAGEIF(Cleaned_Data!$A:$A,$B122,Cleaned_Data!$G:$G)</f>
        <v>39066.560000000005</v>
      </c>
      <c r="E122" s="15">
        <f>_xlfn.MINIFS(Cleaned_Data!$G:$G,Cleaned_Data!$A:$A,$B122)</f>
        <v>24003.199999999997</v>
      </c>
      <c r="F122" s="15">
        <f>_xlfn.MAXIFS(Cleaned_Data!$G:$G,Cleaned_Data!$A:$A,$B122)</f>
        <v>56971.200000000004</v>
      </c>
      <c r="G122" s="10">
        <f>SUMIF(Cleaned_Data!$A:$A,$B122,Cleaned_Data!$F:$F)</f>
        <v>230</v>
      </c>
    </row>
    <row r="123" spans="2:7" x14ac:dyDescent="0.35">
      <c r="B123" s="10" t="s">
        <v>305</v>
      </c>
      <c r="C123" s="10">
        <f>COUNTIF(Cleaned_Data!$A:$A,$B123)</f>
        <v>10</v>
      </c>
      <c r="D123" s="15">
        <f>AVERAGEIF(Cleaned_Data!$A:$A,$B123,Cleaned_Data!$G:$G)</f>
        <v>38586.080000000002</v>
      </c>
      <c r="E123" s="15">
        <f>_xlfn.MINIFS(Cleaned_Data!$G:$G,Cleaned_Data!$A:$A,$B123)</f>
        <v>30513.599999999999</v>
      </c>
      <c r="F123" s="15">
        <f>_xlfn.MAXIFS(Cleaned_Data!$G:$G,Cleaned_Data!$A:$A,$B123)</f>
        <v>48484.799999999996</v>
      </c>
      <c r="G123" s="10">
        <f>SUMIF(Cleaned_Data!$A:$A,$B123,Cleaned_Data!$F:$F)</f>
        <v>1149</v>
      </c>
    </row>
    <row r="124" spans="2:7" x14ac:dyDescent="0.35">
      <c r="B124" s="10" t="s">
        <v>1672</v>
      </c>
      <c r="C124" s="10">
        <f>COUNTIF(Cleaned_Data!$A:$A,$B124)</f>
        <v>10</v>
      </c>
      <c r="D124" s="15">
        <f>AVERAGEIF(Cleaned_Data!$A:$A,$B124,Cleaned_Data!$G:$G)</f>
        <v>38436.319999999992</v>
      </c>
      <c r="E124" s="15">
        <f>_xlfn.MINIFS(Cleaned_Data!$G:$G,Cleaned_Data!$A:$A,$B124)</f>
        <v>20800</v>
      </c>
      <c r="F124" s="15">
        <f>_xlfn.MAXIFS(Cleaned_Data!$G:$G,Cleaned_Data!$A:$A,$B124)</f>
        <v>55827.199999999997</v>
      </c>
      <c r="G124" s="10">
        <f>SUMIF(Cleaned_Data!$A:$A,$B124,Cleaned_Data!$F:$F)</f>
        <v>1303</v>
      </c>
    </row>
    <row r="125" spans="2:7" x14ac:dyDescent="0.35">
      <c r="B125" s="10" t="s">
        <v>987</v>
      </c>
      <c r="C125" s="10">
        <f>COUNTIF(Cleaned_Data!$A:$A,$B125)</f>
        <v>10</v>
      </c>
      <c r="D125" s="15">
        <f>AVERAGEIF(Cleaned_Data!$A:$A,$B125,Cleaned_Data!$G:$G)</f>
        <v>38121.32</v>
      </c>
      <c r="E125" s="15">
        <f>_xlfn.MINIFS(Cleaned_Data!$G:$G,Cleaned_Data!$A:$A,$B125)</f>
        <v>16640</v>
      </c>
      <c r="F125" s="15">
        <f>_xlfn.MAXIFS(Cleaned_Data!$G:$G,Cleaned_Data!$A:$A,$B125)</f>
        <v>74006.399999999994</v>
      </c>
      <c r="G125" s="10">
        <f>SUMIF(Cleaned_Data!$A:$A,$B125,Cleaned_Data!$F:$F)</f>
        <v>295</v>
      </c>
    </row>
    <row r="126" spans="2:7" x14ac:dyDescent="0.35">
      <c r="B126" s="10" t="s">
        <v>1083</v>
      </c>
      <c r="C126" s="10">
        <f>COUNTIF(Cleaned_Data!$A:$A,$B126)</f>
        <v>10</v>
      </c>
      <c r="D126" s="15">
        <f>AVERAGEIF(Cleaned_Data!$A:$A,$B126,Cleaned_Data!$G:$G)</f>
        <v>35863.360000000001</v>
      </c>
      <c r="E126" s="15">
        <f>_xlfn.MINIFS(Cleaned_Data!$G:$G,Cleaned_Data!$A:$A,$B126)</f>
        <v>26000</v>
      </c>
      <c r="F126" s="15">
        <f>_xlfn.MAXIFS(Cleaned_Data!$G:$G,Cleaned_Data!$A:$A,$B126)</f>
        <v>44782.400000000001</v>
      </c>
      <c r="G126" s="10">
        <f>SUMIF(Cleaned_Data!$A:$A,$B126,Cleaned_Data!$F:$F)</f>
        <v>675</v>
      </c>
    </row>
    <row r="127" spans="2:7" x14ac:dyDescent="0.35">
      <c r="B127" s="10" t="s">
        <v>2918</v>
      </c>
      <c r="C127" s="10">
        <f>COUNTIF(Cleaned_Data!$A:$A,$B127)</f>
        <v>10</v>
      </c>
      <c r="D127" s="15">
        <f>AVERAGEIF(Cleaned_Data!$A:$A,$B127,Cleaned_Data!$G:$G)</f>
        <v>35442.080000000002</v>
      </c>
      <c r="E127" s="15">
        <f>_xlfn.MINIFS(Cleaned_Data!$G:$G,Cleaned_Data!$A:$A,$B127)</f>
        <v>24211.200000000001</v>
      </c>
      <c r="F127" s="15">
        <f>_xlfn.MAXIFS(Cleaned_Data!$G:$G,Cleaned_Data!$A:$A,$B127)</f>
        <v>72768</v>
      </c>
      <c r="G127" s="10">
        <f>SUMIF(Cleaned_Data!$A:$A,$B127,Cleaned_Data!$F:$F)</f>
        <v>133</v>
      </c>
    </row>
    <row r="128" spans="2:7" x14ac:dyDescent="0.35">
      <c r="B128" s="10" t="s">
        <v>2615</v>
      </c>
      <c r="C128" s="10">
        <f>COUNTIF(Cleaned_Data!$A:$A,$B128)</f>
        <v>10</v>
      </c>
      <c r="D128" s="15">
        <f>AVERAGEIF(Cleaned_Data!$A:$A,$B128,Cleaned_Data!$G:$G)</f>
        <v>34058.020000000004</v>
      </c>
      <c r="E128" s="15">
        <f>_xlfn.MINIFS(Cleaned_Data!$G:$G,Cleaned_Data!$A:$A,$B128)</f>
        <v>25043.199999999997</v>
      </c>
      <c r="F128" s="15">
        <f>_xlfn.MAXIFS(Cleaned_Data!$G:$G,Cleaned_Data!$A:$A,$B128)</f>
        <v>60122</v>
      </c>
      <c r="G128" s="10">
        <f>SUMIF(Cleaned_Data!$A:$A,$B128,Cleaned_Data!$F:$F)</f>
        <v>4409</v>
      </c>
    </row>
    <row r="129" spans="2:7" x14ac:dyDescent="0.35">
      <c r="B129" s="10" t="s">
        <v>1593</v>
      </c>
      <c r="C129" s="10">
        <f>COUNTIF(Cleaned_Data!$A:$A,$B129)</f>
        <v>10</v>
      </c>
      <c r="D129" s="15">
        <f>AVERAGEIF(Cleaned_Data!$A:$A,$B129,Cleaned_Data!$G:$G)</f>
        <v>34037.119999999988</v>
      </c>
      <c r="E129" s="15">
        <f>_xlfn.MINIFS(Cleaned_Data!$G:$G,Cleaned_Data!$A:$A,$B129)</f>
        <v>23254.399999999998</v>
      </c>
      <c r="F129" s="15">
        <f>_xlfn.MAXIFS(Cleaned_Data!$G:$G,Cleaned_Data!$A:$A,$B129)</f>
        <v>48422.400000000001</v>
      </c>
      <c r="G129" s="10">
        <f>SUMIF(Cleaned_Data!$A:$A,$B129,Cleaned_Data!$F:$F)</f>
        <v>155</v>
      </c>
    </row>
    <row r="130" spans="2:7" x14ac:dyDescent="0.35">
      <c r="B130" s="10" t="s">
        <v>2070</v>
      </c>
      <c r="C130" s="10">
        <f>COUNTIF(Cleaned_Data!$A:$A,$B130)</f>
        <v>10</v>
      </c>
      <c r="D130" s="15">
        <f>AVERAGEIF(Cleaned_Data!$A:$A,$B130,Cleaned_Data!$G:$G)</f>
        <v>33506.06</v>
      </c>
      <c r="E130" s="15">
        <f>_xlfn.MINIFS(Cleaned_Data!$G:$G,Cleaned_Data!$A:$A,$B130)</f>
        <v>25729.599999999999</v>
      </c>
      <c r="F130" s="15">
        <f>_xlfn.MAXIFS(Cleaned_Data!$G:$G,Cleaned_Data!$A:$A,$B130)</f>
        <v>42883</v>
      </c>
      <c r="G130" s="10">
        <f>SUMIF(Cleaned_Data!$A:$A,$B130,Cleaned_Data!$F:$F)</f>
        <v>95</v>
      </c>
    </row>
    <row r="131" spans="2:7" x14ac:dyDescent="0.35">
      <c r="B131" s="10" t="s">
        <v>2280</v>
      </c>
      <c r="C131" s="10">
        <f>COUNTIF(Cleaned_Data!$A:$A,$B131)</f>
        <v>10</v>
      </c>
      <c r="D131" s="15">
        <f>AVERAGEIF(Cleaned_Data!$A:$A,$B131,Cleaned_Data!$G:$G)</f>
        <v>33485.919999999998</v>
      </c>
      <c r="E131" s="15">
        <f>_xlfn.MINIFS(Cleaned_Data!$G:$G,Cleaned_Data!$A:$A,$B131)</f>
        <v>27768</v>
      </c>
      <c r="F131" s="15">
        <f>_xlfn.MAXIFS(Cleaned_Data!$G:$G,Cleaned_Data!$A:$A,$B131)</f>
        <v>42889.599999999999</v>
      </c>
      <c r="G131" s="10">
        <f>SUMIF(Cleaned_Data!$A:$A,$B131,Cleaned_Data!$F:$F)</f>
        <v>2631</v>
      </c>
    </row>
    <row r="132" spans="2:7" x14ac:dyDescent="0.35">
      <c r="B132" s="10" t="s">
        <v>2889</v>
      </c>
      <c r="C132" s="10">
        <f>COUNTIF(Cleaned_Data!$A:$A,$B132)</f>
        <v>10</v>
      </c>
      <c r="D132" s="15">
        <f>AVERAGEIF(Cleaned_Data!$A:$A,$B132,Cleaned_Data!$G:$G)</f>
        <v>32536.74</v>
      </c>
      <c r="E132" s="15">
        <f>_xlfn.MINIFS(Cleaned_Data!$G:$G,Cleaned_Data!$A:$A,$B132)</f>
        <v>24960</v>
      </c>
      <c r="F132" s="15">
        <f>_xlfn.MAXIFS(Cleaned_Data!$G:$G,Cleaned_Data!$A:$A,$B132)</f>
        <v>42203.199999999997</v>
      </c>
      <c r="G132" s="10">
        <f>SUMIF(Cleaned_Data!$A:$A,$B132,Cleaned_Data!$F:$F)</f>
        <v>81</v>
      </c>
    </row>
    <row r="133" spans="2:7" x14ac:dyDescent="0.35">
      <c r="B133" s="10" t="s">
        <v>1564</v>
      </c>
      <c r="C133" s="10">
        <f>COUNTIF(Cleaned_Data!$A:$A,$B133)</f>
        <v>10</v>
      </c>
      <c r="D133" s="15">
        <f>AVERAGEIF(Cleaned_Data!$A:$A,$B133,Cleaned_Data!$G:$G)</f>
        <v>32420.959999999999</v>
      </c>
      <c r="E133" s="15">
        <f>_xlfn.MINIFS(Cleaned_Data!$G:$G,Cleaned_Data!$A:$A,$B133)</f>
        <v>27060.799999999999</v>
      </c>
      <c r="F133" s="15">
        <f>_xlfn.MAXIFS(Cleaned_Data!$G:$G,Cleaned_Data!$A:$A,$B133)</f>
        <v>37273.600000000006</v>
      </c>
      <c r="G133" s="10">
        <f>SUMIF(Cleaned_Data!$A:$A,$B133,Cleaned_Data!$F:$F)</f>
        <v>158</v>
      </c>
    </row>
    <row r="134" spans="2:7" x14ac:dyDescent="0.35">
      <c r="B134" s="10" t="s">
        <v>1703</v>
      </c>
      <c r="C134" s="10">
        <f>COUNTIF(Cleaned_Data!$A:$A,$B134)</f>
        <v>10</v>
      </c>
      <c r="D134" s="15">
        <f>AVERAGEIF(Cleaned_Data!$A:$A,$B134,Cleaned_Data!$G:$G)</f>
        <v>32196.32</v>
      </c>
      <c r="E134" s="15">
        <f>_xlfn.MINIFS(Cleaned_Data!$G:$G,Cleaned_Data!$A:$A,$B134)</f>
        <v>27019.200000000001</v>
      </c>
      <c r="F134" s="15">
        <f>_xlfn.MAXIFS(Cleaned_Data!$G:$G,Cleaned_Data!$A:$A,$B134)</f>
        <v>35568</v>
      </c>
      <c r="G134" s="10">
        <f>SUMIF(Cleaned_Data!$A:$A,$B134,Cleaned_Data!$F:$F)</f>
        <v>787</v>
      </c>
    </row>
    <row r="135" spans="2:7" x14ac:dyDescent="0.35">
      <c r="B135" s="10" t="s">
        <v>2155</v>
      </c>
      <c r="C135" s="10">
        <f>COUNTIF(Cleaned_Data!$A:$A,$B135)</f>
        <v>10</v>
      </c>
      <c r="D135" s="15">
        <f>AVERAGEIF(Cleaned_Data!$A:$A,$B135,Cleaned_Data!$G:$G)</f>
        <v>32081.54</v>
      </c>
      <c r="E135" s="15">
        <f>_xlfn.MINIFS(Cleaned_Data!$G:$G,Cleaned_Data!$A:$A,$B135)</f>
        <v>23275.200000000001</v>
      </c>
      <c r="F135" s="15">
        <f>_xlfn.MAXIFS(Cleaned_Data!$G:$G,Cleaned_Data!$A:$A,$B135)</f>
        <v>64809</v>
      </c>
      <c r="G135" s="10">
        <f>SUMIF(Cleaned_Data!$A:$A,$B135,Cleaned_Data!$F:$F)</f>
        <v>4394</v>
      </c>
    </row>
    <row r="136" spans="2:7" x14ac:dyDescent="0.35">
      <c r="B136" s="10" t="s">
        <v>2871</v>
      </c>
      <c r="C136" s="10">
        <f>COUNTIF(Cleaned_Data!$A:$A,$B136)</f>
        <v>10</v>
      </c>
      <c r="D136" s="15">
        <f>AVERAGEIF(Cleaned_Data!$A:$A,$B136,Cleaned_Data!$G:$G)</f>
        <v>32066.620000000003</v>
      </c>
      <c r="E136" s="15">
        <f>_xlfn.MINIFS(Cleaned_Data!$G:$G,Cleaned_Data!$A:$A,$B136)</f>
        <v>15080</v>
      </c>
      <c r="F136" s="15">
        <f>_xlfn.MAXIFS(Cleaned_Data!$G:$G,Cleaned_Data!$A:$A,$B136)</f>
        <v>53123.199999999997</v>
      </c>
      <c r="G136" s="10">
        <f>SUMIF(Cleaned_Data!$A:$A,$B136,Cleaned_Data!$F:$F)</f>
        <v>319</v>
      </c>
    </row>
    <row r="137" spans="2:7" x14ac:dyDescent="0.35">
      <c r="B137" s="10" t="s">
        <v>2256</v>
      </c>
      <c r="C137" s="10">
        <f>COUNTIF(Cleaned_Data!$A:$A,$B137)</f>
        <v>10</v>
      </c>
      <c r="D137" s="15">
        <f>AVERAGEIF(Cleaned_Data!$A:$A,$B137,Cleaned_Data!$G:$G)</f>
        <v>29660.799999999999</v>
      </c>
      <c r="E137" s="15">
        <f>_xlfn.MINIFS(Cleaned_Data!$G:$G,Cleaned_Data!$A:$A,$B137)</f>
        <v>22963.199999999997</v>
      </c>
      <c r="F137" s="15">
        <f>_xlfn.MAXIFS(Cleaned_Data!$G:$G,Cleaned_Data!$A:$A,$B137)</f>
        <v>34860.800000000003</v>
      </c>
      <c r="G137" s="10">
        <f>SUMIF(Cleaned_Data!$A:$A,$B137,Cleaned_Data!$F:$F)</f>
        <v>631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H36"/>
  <sheetViews>
    <sheetView showGridLines="0" zoomScaleNormal="100" workbookViewId="0">
      <selection activeCell="F7" sqref="F7"/>
    </sheetView>
  </sheetViews>
  <sheetFormatPr defaultColWidth="8.6328125" defaultRowHeight="14.5" x14ac:dyDescent="0.35"/>
  <cols>
    <col min="1" max="1" width="2" customWidth="1"/>
    <col min="2" max="2" width="42" customWidth="1"/>
    <col min="3" max="3" width="18" customWidth="1"/>
    <col min="4" max="4" width="26.7265625" customWidth="1"/>
  </cols>
  <sheetData>
    <row r="2" spans="2:4" ht="20" x14ac:dyDescent="0.4">
      <c r="B2" s="4" t="s">
        <v>2984</v>
      </c>
    </row>
    <row r="3" spans="2:4" x14ac:dyDescent="0.35">
      <c r="B3" s="5" t="s">
        <v>2985</v>
      </c>
    </row>
    <row r="5" spans="2:4" ht="16.5" x14ac:dyDescent="0.35">
      <c r="B5" s="7" t="s">
        <v>2986</v>
      </c>
    </row>
    <row r="7" spans="2:4" x14ac:dyDescent="0.35">
      <c r="B7" s="6" t="s">
        <v>2987</v>
      </c>
      <c r="D7" s="16" t="s">
        <v>2988</v>
      </c>
    </row>
    <row r="8" spans="2:4" x14ac:dyDescent="0.35">
      <c r="B8" s="6" t="s">
        <v>2989</v>
      </c>
      <c r="D8" s="17">
        <f>IFERROR(INDEX(Cleaned_Data!$G:$G,MATCH(D7,Cleaned_Data!$H:$H,0)),"No match")</f>
        <v>36275.200000000004</v>
      </c>
    </row>
    <row r="10" spans="2:4" x14ac:dyDescent="0.35">
      <c r="B10" s="12" t="s">
        <v>2990</v>
      </c>
      <c r="C10" s="12" t="s">
        <v>2991</v>
      </c>
    </row>
    <row r="11" spans="2:4" x14ac:dyDescent="0.35">
      <c r="B11" s="18">
        <v>0</v>
      </c>
      <c r="C11" s="15">
        <f t="shared" ref="C11:C17" si="0">$D$8*(1+B11)</f>
        <v>36275.200000000004</v>
      </c>
    </row>
    <row r="12" spans="2:4" x14ac:dyDescent="0.35">
      <c r="B12" s="18">
        <v>0.02</v>
      </c>
      <c r="C12" s="15">
        <f t="shared" si="0"/>
        <v>37000.704000000005</v>
      </c>
    </row>
    <row r="13" spans="2:4" x14ac:dyDescent="0.35">
      <c r="B13" s="18">
        <v>0.05</v>
      </c>
      <c r="C13" s="15">
        <f t="shared" si="0"/>
        <v>38088.960000000006</v>
      </c>
    </row>
    <row r="14" spans="2:4" x14ac:dyDescent="0.35">
      <c r="B14" s="18">
        <v>0.08</v>
      </c>
      <c r="C14" s="15">
        <f t="shared" si="0"/>
        <v>39177.216000000008</v>
      </c>
    </row>
    <row r="15" spans="2:4" x14ac:dyDescent="0.35">
      <c r="B15" s="18">
        <v>0.1</v>
      </c>
      <c r="C15" s="15">
        <f t="shared" si="0"/>
        <v>39902.720000000008</v>
      </c>
    </row>
    <row r="16" spans="2:4" x14ac:dyDescent="0.35">
      <c r="B16" s="18">
        <v>0.15</v>
      </c>
      <c r="C16" s="15">
        <f t="shared" si="0"/>
        <v>41716.480000000003</v>
      </c>
    </row>
    <row r="17" spans="2:8" x14ac:dyDescent="0.35">
      <c r="B17" s="18">
        <v>0.2</v>
      </c>
      <c r="C17" s="15">
        <f t="shared" si="0"/>
        <v>43530.240000000005</v>
      </c>
    </row>
    <row r="19" spans="2:8" ht="45" customHeight="1" x14ac:dyDescent="0.35"/>
    <row r="21" spans="2:8" ht="16.5" x14ac:dyDescent="0.35">
      <c r="B21" s="7" t="s">
        <v>2992</v>
      </c>
    </row>
    <row r="23" spans="2:8" x14ac:dyDescent="0.35">
      <c r="B23" s="6" t="s">
        <v>2993</v>
      </c>
      <c r="D23" s="15">
        <f>D8</f>
        <v>36275.200000000004</v>
      </c>
    </row>
    <row r="24" spans="2:8" x14ac:dyDescent="0.35">
      <c r="B24" s="6" t="s">
        <v>2994</v>
      </c>
      <c r="D24" s="14">
        <v>75000</v>
      </c>
    </row>
    <row r="25" spans="2:8" x14ac:dyDescent="0.35">
      <c r="B25" s="6" t="s">
        <v>2995</v>
      </c>
      <c r="D25" s="19">
        <v>0</v>
      </c>
    </row>
    <row r="26" spans="2:8" x14ac:dyDescent="0.35">
      <c r="B26" s="6" t="s">
        <v>2996</v>
      </c>
      <c r="D26" s="15">
        <f>D23*(1+D25)</f>
        <v>36275.200000000004</v>
      </c>
    </row>
    <row r="30" spans="2:8" ht="16.5" x14ac:dyDescent="0.35">
      <c r="B30" s="7" t="s">
        <v>2997</v>
      </c>
    </row>
    <row r="31" spans="2:8" x14ac:dyDescent="0.35">
      <c r="B31" s="27"/>
      <c r="C31" s="27"/>
      <c r="D31" s="27"/>
      <c r="E31" s="27"/>
      <c r="F31" s="27"/>
      <c r="G31" s="27"/>
      <c r="H31" s="27"/>
    </row>
    <row r="33" spans="2:3" x14ac:dyDescent="0.35">
      <c r="B33" s="9" t="s">
        <v>2998</v>
      </c>
      <c r="C33" s="9" t="s">
        <v>2990</v>
      </c>
    </row>
    <row r="34" spans="2:3" x14ac:dyDescent="0.35">
      <c r="B34" s="10" t="s">
        <v>2999</v>
      </c>
      <c r="C34" s="18">
        <v>0.02</v>
      </c>
    </row>
    <row r="35" spans="2:3" x14ac:dyDescent="0.35">
      <c r="B35" s="10" t="s">
        <v>3000</v>
      </c>
      <c r="C35" s="18">
        <v>0.05</v>
      </c>
    </row>
    <row r="36" spans="2:3" x14ac:dyDescent="0.35">
      <c r="B36" s="10" t="s">
        <v>3001</v>
      </c>
      <c r="C36" s="18">
        <v>0.1</v>
      </c>
    </row>
  </sheetData>
  <mergeCells count="1">
    <mergeCell ref="B31:H3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Cleaned_Data!$H$2:$H$980</xm:f>
          </x14:formula1>
          <x14:formula2>
            <xm:f>0</xm:f>
          </x14:formula2>
          <xm:sqref>D7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H43"/>
  <sheetViews>
    <sheetView showGridLines="0" zoomScaleNormal="100" workbookViewId="0">
      <selection activeCell="C11" sqref="C11"/>
    </sheetView>
  </sheetViews>
  <sheetFormatPr defaultColWidth="8.6328125" defaultRowHeight="14.5" x14ac:dyDescent="0.35"/>
  <cols>
    <col min="1" max="1" width="2" customWidth="1"/>
    <col min="2" max="2" width="24" customWidth="1"/>
    <col min="3" max="3" width="20" customWidth="1"/>
    <col min="4" max="4" width="17.08984375" customWidth="1"/>
    <col min="5" max="5" width="20" customWidth="1"/>
    <col min="6" max="6" width="14" customWidth="1"/>
    <col min="8" max="8" width="17" customWidth="1"/>
  </cols>
  <sheetData>
    <row r="2" spans="2:8" ht="20" x14ac:dyDescent="0.4">
      <c r="B2" s="4" t="s">
        <v>3002</v>
      </c>
    </row>
    <row r="3" spans="2:8" x14ac:dyDescent="0.35">
      <c r="B3" s="5" t="s">
        <v>3003</v>
      </c>
    </row>
    <row r="5" spans="2:8" x14ac:dyDescent="0.35">
      <c r="B5" s="20" t="s">
        <v>3004</v>
      </c>
      <c r="D5" s="20" t="s">
        <v>3005</v>
      </c>
      <c r="F5" s="20" t="s">
        <v>3006</v>
      </c>
      <c r="H5" s="20" t="s">
        <v>2979</v>
      </c>
    </row>
    <row r="6" spans="2:8" ht="18" x14ac:dyDescent="0.4">
      <c r="B6" s="21">
        <f>COUNTA(Cleaned_Data!A2:A980)</f>
        <v>979</v>
      </c>
      <c r="D6" s="21">
        <f>SUMPRODUCT(1/COUNTIF(Cleaned_Data!A2:A980,Cleaned_Data!A2:A980))</f>
        <v>97.999999999998721</v>
      </c>
      <c r="F6" s="21">
        <f>SUMPRODUCT(1/COUNTIF(Cleaned_Data!B2:B980,Cleaned_Data!B2:B980))</f>
        <v>28.999999999999975</v>
      </c>
      <c r="H6" s="22">
        <f>AVERAGE(Cleaned_Data!G2:G980)</f>
        <v>84157.883350357399</v>
      </c>
    </row>
    <row r="9" spans="2:8" ht="16.5" x14ac:dyDescent="0.35">
      <c r="B9" s="7" t="s">
        <v>3007</v>
      </c>
    </row>
    <row r="11" spans="2:8" x14ac:dyDescent="0.35">
      <c r="B11" s="6" t="s">
        <v>2964</v>
      </c>
      <c r="C11" s="16" t="s">
        <v>1886</v>
      </c>
    </row>
    <row r="12" spans="2:8" x14ac:dyDescent="0.35">
      <c r="B12" s="6" t="s">
        <v>3008</v>
      </c>
      <c r="C12" s="10">
        <f>COUNTIF(Cleaned_Data!$A:$A,C11)</f>
        <v>10</v>
      </c>
    </row>
    <row r="13" spans="2:8" x14ac:dyDescent="0.35">
      <c r="B13" s="6" t="s">
        <v>3009</v>
      </c>
      <c r="C13" s="15">
        <f>AVERAGEIF(Cleaned_Data!$A:$A,C11,Cleaned_Data!$G:$G)</f>
        <v>62034</v>
      </c>
    </row>
    <row r="16" spans="2:8" x14ac:dyDescent="0.35">
      <c r="B16" s="23" t="s">
        <v>2956</v>
      </c>
      <c r="C16" s="23" t="s">
        <v>2979</v>
      </c>
    </row>
    <row r="17" spans="2:3" x14ac:dyDescent="0.35">
      <c r="B17" s="2" t="str">
        <f>Pivot_Summary!B7</f>
        <v>Arts &amp; Entertainment</v>
      </c>
      <c r="C17" s="13">
        <f>Pivot_Summary!D7</f>
        <v>163041</v>
      </c>
    </row>
    <row r="18" spans="2:3" x14ac:dyDescent="0.35">
      <c r="B18" s="2" t="str">
        <f>Pivot_Summary!B8</f>
        <v>IT Operations &amp; Helpdesk</v>
      </c>
      <c r="C18" s="13">
        <f>Pivot_Summary!D8</f>
        <v>159714.70000000001</v>
      </c>
    </row>
    <row r="19" spans="2:3" x14ac:dyDescent="0.35">
      <c r="B19" s="2" t="str">
        <f>Pivot_Summary!B9</f>
        <v>Project Management</v>
      </c>
      <c r="C19" s="13">
        <f>Pivot_Summary!D9</f>
        <v>154863.33333333334</v>
      </c>
    </row>
    <row r="20" spans="2:3" x14ac:dyDescent="0.35">
      <c r="B20" s="2" t="str">
        <f>Pivot_Summary!B10</f>
        <v>Software Development</v>
      </c>
      <c r="C20" s="13">
        <f>Pivot_Summary!D10</f>
        <v>129481.72394366197</v>
      </c>
    </row>
    <row r="21" spans="2:3" x14ac:dyDescent="0.35">
      <c r="B21" s="2" t="str">
        <f>Pivot_Summary!B11</f>
        <v>Marketing</v>
      </c>
      <c r="C21" s="13">
        <f>Pivot_Summary!D11</f>
        <v>118235.28571428571</v>
      </c>
    </row>
    <row r="22" spans="2:3" x14ac:dyDescent="0.35">
      <c r="B22" s="2" t="str">
        <f>Pivot_Summary!B12</f>
        <v>Management</v>
      </c>
      <c r="C22" s="13">
        <f>Pivot_Summary!D12</f>
        <v>114841.13899999998</v>
      </c>
    </row>
    <row r="23" spans="2:3" x14ac:dyDescent="0.35">
      <c r="B23" s="2" t="str">
        <f>Pivot_Summary!B13</f>
        <v>Information Design &amp; Documentation</v>
      </c>
      <c r="C23" s="13">
        <f>Pivot_Summary!D13</f>
        <v>114279.57142857143</v>
      </c>
    </row>
    <row r="24" spans="2:3" x14ac:dyDescent="0.35">
      <c r="B24" s="2" t="str">
        <f>Pivot_Summary!B14</f>
        <v>Mathematics</v>
      </c>
      <c r="C24" s="13">
        <f>Pivot_Summary!D14</f>
        <v>110308.44230769231</v>
      </c>
    </row>
    <row r="25" spans="2:3" x14ac:dyDescent="0.35">
      <c r="B25" s="2" t="str">
        <f>Pivot_Summary!B15</f>
        <v>Medical Technician</v>
      </c>
      <c r="C25" s="13">
        <f>Pivot_Summary!D15</f>
        <v>98360.079999999987</v>
      </c>
    </row>
    <row r="26" spans="2:3" x14ac:dyDescent="0.35">
      <c r="B26" s="2" t="str">
        <f>Pivot_Summary!B16</f>
        <v>Sales</v>
      </c>
      <c r="C26" s="13">
        <f>Pivot_Summary!D16</f>
        <v>97496.627906976748</v>
      </c>
    </row>
    <row r="27" spans="2:3" x14ac:dyDescent="0.35">
      <c r="B27" s="2" t="str">
        <f>Pivot_Summary!B17</f>
        <v>Banking &amp; Finance</v>
      </c>
      <c r="C27" s="13">
        <f>Pivot_Summary!D17</f>
        <v>97344.58</v>
      </c>
    </row>
    <row r="28" spans="2:3" x14ac:dyDescent="0.35">
      <c r="B28" s="2" t="str">
        <f>Pivot_Summary!B18</f>
        <v>Administrative Assistance</v>
      </c>
      <c r="C28" s="13">
        <f>Pivot_Summary!D18</f>
        <v>91487.712500000009</v>
      </c>
    </row>
    <row r="31" spans="2:3" x14ac:dyDescent="0.35">
      <c r="B31" s="23" t="s">
        <v>2955</v>
      </c>
      <c r="C31" s="23" t="s">
        <v>2979</v>
      </c>
    </row>
    <row r="32" spans="2:3" x14ac:dyDescent="0.35">
      <c r="B32" s="2" t="str">
        <f>Pivot_Summary!B40</f>
        <v>Adobe</v>
      </c>
      <c r="C32" s="13">
        <f>Pivot_Summary!D40</f>
        <v>213921.44</v>
      </c>
    </row>
    <row r="33" spans="2:3" x14ac:dyDescent="0.35">
      <c r="B33" s="2" t="str">
        <f>Pivot_Summary!B41</f>
        <v>Airbnb</v>
      </c>
      <c r="C33" s="13">
        <f>Pivot_Summary!D41</f>
        <v>197383.7</v>
      </c>
    </row>
    <row r="34" spans="2:3" x14ac:dyDescent="0.35">
      <c r="B34" s="2" t="str">
        <f>Pivot_Summary!B42</f>
        <v>Salesforce</v>
      </c>
      <c r="C34" s="13">
        <f>Pivot_Summary!D42</f>
        <v>195886.4</v>
      </c>
    </row>
    <row r="35" spans="2:3" x14ac:dyDescent="0.35">
      <c r="B35" s="2" t="str">
        <f>Pivot_Summary!B43</f>
        <v>PayPal</v>
      </c>
      <c r="C35" s="13">
        <f>Pivot_Summary!D43</f>
        <v>162608.6</v>
      </c>
    </row>
    <row r="36" spans="2:3" x14ac:dyDescent="0.35">
      <c r="B36" s="2" t="str">
        <f>Pivot_Summary!B44</f>
        <v>Intel Corporation</v>
      </c>
      <c r="C36" s="13">
        <f>Pivot_Summary!D44</f>
        <v>156559.79999999999</v>
      </c>
    </row>
    <row r="37" spans="2:3" x14ac:dyDescent="0.35">
      <c r="B37" s="2" t="str">
        <f>Pivot_Summary!B45</f>
        <v>Tesla</v>
      </c>
      <c r="C37" s="13">
        <f>Pivot_Summary!D45</f>
        <v>151997.06</v>
      </c>
    </row>
    <row r="38" spans="2:3" x14ac:dyDescent="0.35">
      <c r="B38" s="2" t="str">
        <f>Pivot_Summary!B46</f>
        <v>Dell Technologies</v>
      </c>
      <c r="C38" s="13">
        <f>Pivot_Summary!D46</f>
        <v>148389.70000000001</v>
      </c>
    </row>
    <row r="39" spans="2:3" x14ac:dyDescent="0.35">
      <c r="B39" s="2" t="str">
        <f>Pivot_Summary!B47</f>
        <v>EY</v>
      </c>
      <c r="C39" s="13">
        <f>Pivot_Summary!D47</f>
        <v>145721.29999999999</v>
      </c>
    </row>
    <row r="40" spans="2:3" x14ac:dyDescent="0.35">
      <c r="B40" s="2" t="str">
        <f>Pivot_Summary!B48</f>
        <v>Pfizer</v>
      </c>
      <c r="C40" s="13">
        <f>Pivot_Summary!D48</f>
        <v>141828.20000000001</v>
      </c>
    </row>
    <row r="41" spans="2:3" x14ac:dyDescent="0.35">
      <c r="B41" s="2" t="str">
        <f>Pivot_Summary!B49</f>
        <v>Lyft Drivers</v>
      </c>
      <c r="C41" s="13">
        <f>Pivot_Summary!D49</f>
        <v>134491.48000000001</v>
      </c>
    </row>
    <row r="42" spans="2:3" x14ac:dyDescent="0.35">
      <c r="B42" s="2" t="str">
        <f>Pivot_Summary!B50</f>
        <v>Meta</v>
      </c>
      <c r="C42" s="13">
        <f>Pivot_Summary!D50</f>
        <v>134460.34</v>
      </c>
    </row>
    <row r="43" spans="2:3" x14ac:dyDescent="0.35">
      <c r="B43" s="2" t="str">
        <f>Pivot_Summary!B51</f>
        <v>Ford Motor Company</v>
      </c>
      <c r="C43" s="13">
        <f>Pivot_Summary!D51</f>
        <v>133518.6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H153"/>
  <sheetViews>
    <sheetView showGridLines="0" tabSelected="1" topLeftCell="A141" zoomScaleNormal="100" workbookViewId="0"/>
  </sheetViews>
  <sheetFormatPr defaultColWidth="8.6328125" defaultRowHeight="14.5" x14ac:dyDescent="0.35"/>
  <cols>
    <col min="1" max="1" width="2" customWidth="1"/>
    <col min="2" max="2" width="100" customWidth="1"/>
  </cols>
  <sheetData>
    <row r="2" spans="2:2" ht="20" x14ac:dyDescent="0.4">
      <c r="B2" s="4" t="s">
        <v>3010</v>
      </c>
    </row>
    <row r="3" spans="2:2" x14ac:dyDescent="0.35">
      <c r="B3" s="5" t="s">
        <v>3011</v>
      </c>
    </row>
    <row r="5" spans="2:2" ht="16.5" x14ac:dyDescent="0.35">
      <c r="B5" s="7" t="s">
        <v>3012</v>
      </c>
    </row>
    <row r="6" spans="2:2" x14ac:dyDescent="0.35">
      <c r="B6" s="24" t="s">
        <v>3013</v>
      </c>
    </row>
    <row r="7" spans="2:2" x14ac:dyDescent="0.35">
      <c r="B7" s="24" t="s">
        <v>3014</v>
      </c>
    </row>
    <row r="8" spans="2:2" x14ac:dyDescent="0.35">
      <c r="B8" s="24" t="s">
        <v>3015</v>
      </c>
    </row>
    <row r="9" spans="2:2" x14ac:dyDescent="0.35">
      <c r="B9" s="24" t="s">
        <v>3016</v>
      </c>
    </row>
    <row r="10" spans="2:2" x14ac:dyDescent="0.35">
      <c r="B10" s="24" t="s">
        <v>3017</v>
      </c>
    </row>
    <row r="11" spans="2:2" x14ac:dyDescent="0.35">
      <c r="B11" s="24" t="s">
        <v>3018</v>
      </c>
    </row>
    <row r="12" spans="2:2" x14ac:dyDescent="0.35">
      <c r="B12" s="24"/>
    </row>
    <row r="13" spans="2:2" x14ac:dyDescent="0.35">
      <c r="B13" s="24" t="s">
        <v>3019</v>
      </c>
    </row>
    <row r="14" spans="2:2" x14ac:dyDescent="0.35">
      <c r="B14" s="24" t="s">
        <v>3020</v>
      </c>
    </row>
    <row r="15" spans="2:2" x14ac:dyDescent="0.35">
      <c r="B15" s="24"/>
    </row>
    <row r="16" spans="2:2" x14ac:dyDescent="0.35">
      <c r="B16" s="24" t="s">
        <v>3021</v>
      </c>
    </row>
    <row r="17" spans="2:2" x14ac:dyDescent="0.35">
      <c r="B17" s="24"/>
    </row>
    <row r="18" spans="2:2" x14ac:dyDescent="0.35">
      <c r="B18" s="24" t="s">
        <v>3022</v>
      </c>
    </row>
    <row r="19" spans="2:2" x14ac:dyDescent="0.35">
      <c r="B19" s="24" t="s">
        <v>3023</v>
      </c>
    </row>
    <row r="20" spans="2:2" x14ac:dyDescent="0.35">
      <c r="B20" s="24"/>
    </row>
    <row r="21" spans="2:2" x14ac:dyDescent="0.35">
      <c r="B21" s="24" t="s">
        <v>3024</v>
      </c>
    </row>
    <row r="22" spans="2:2" x14ac:dyDescent="0.35">
      <c r="B22" s="24" t="s">
        <v>3025</v>
      </c>
    </row>
    <row r="23" spans="2:2" x14ac:dyDescent="0.35">
      <c r="B23" s="24"/>
    </row>
    <row r="24" spans="2:2" x14ac:dyDescent="0.35">
      <c r="B24" s="24" t="s">
        <v>3026</v>
      </c>
    </row>
    <row r="25" spans="2:2" x14ac:dyDescent="0.35">
      <c r="B25" s="24" t="s">
        <v>3027</v>
      </c>
    </row>
    <row r="26" spans="2:2" x14ac:dyDescent="0.35">
      <c r="B26" s="24" t="s">
        <v>3028</v>
      </c>
    </row>
    <row r="27" spans="2:2" x14ac:dyDescent="0.35">
      <c r="B27" s="24" t="s">
        <v>3029</v>
      </c>
    </row>
    <row r="28" spans="2:2" x14ac:dyDescent="0.35">
      <c r="B28" s="24"/>
    </row>
    <row r="29" spans="2:2" x14ac:dyDescent="0.35">
      <c r="B29" s="24" t="s">
        <v>3030</v>
      </c>
    </row>
    <row r="30" spans="2:2" x14ac:dyDescent="0.35">
      <c r="B30" s="24" t="s">
        <v>3031</v>
      </c>
    </row>
    <row r="31" spans="2:2" x14ac:dyDescent="0.35">
      <c r="B31" s="24" t="s">
        <v>3032</v>
      </c>
    </row>
    <row r="32" spans="2:2" x14ac:dyDescent="0.35">
      <c r="B32" s="24" t="s">
        <v>3033</v>
      </c>
    </row>
    <row r="33" spans="2:2" x14ac:dyDescent="0.35">
      <c r="B33" s="24" t="s">
        <v>3034</v>
      </c>
    </row>
    <row r="34" spans="2:2" x14ac:dyDescent="0.35">
      <c r="B34" s="24" t="s">
        <v>3035</v>
      </c>
    </row>
    <row r="35" spans="2:2" x14ac:dyDescent="0.35">
      <c r="B35" s="24" t="s">
        <v>3036</v>
      </c>
    </row>
    <row r="36" spans="2:2" x14ac:dyDescent="0.35">
      <c r="B36" s="24"/>
    </row>
    <row r="37" spans="2:2" x14ac:dyDescent="0.35">
      <c r="B37" s="24" t="s">
        <v>3037</v>
      </c>
    </row>
    <row r="38" spans="2:2" x14ac:dyDescent="0.35">
      <c r="B38" s="24" t="s">
        <v>3038</v>
      </c>
    </row>
    <row r="39" spans="2:2" x14ac:dyDescent="0.35">
      <c r="B39" s="24" t="s">
        <v>3039</v>
      </c>
    </row>
    <row r="40" spans="2:2" x14ac:dyDescent="0.35">
      <c r="B40" s="24" t="s">
        <v>3040</v>
      </c>
    </row>
    <row r="41" spans="2:2" x14ac:dyDescent="0.35">
      <c r="B41" s="24" t="s">
        <v>3041</v>
      </c>
    </row>
    <row r="42" spans="2:2" x14ac:dyDescent="0.35">
      <c r="B42" s="24" t="s">
        <v>3042</v>
      </c>
    </row>
    <row r="43" spans="2:2" x14ac:dyDescent="0.35">
      <c r="B43" s="24" t="s">
        <v>3043</v>
      </c>
    </row>
    <row r="44" spans="2:2" x14ac:dyDescent="0.35">
      <c r="B44" s="24" t="s">
        <v>3044</v>
      </c>
    </row>
    <row r="45" spans="2:2" x14ac:dyDescent="0.35">
      <c r="B45" s="24" t="s">
        <v>3045</v>
      </c>
    </row>
    <row r="46" spans="2:2" x14ac:dyDescent="0.35">
      <c r="B46" s="24" t="s">
        <v>3046</v>
      </c>
    </row>
    <row r="47" spans="2:2" x14ac:dyDescent="0.35">
      <c r="B47" s="24" t="s">
        <v>3047</v>
      </c>
    </row>
    <row r="48" spans="2:2" x14ac:dyDescent="0.35">
      <c r="B48" s="24" t="s">
        <v>3048</v>
      </c>
    </row>
    <row r="49" spans="2:2" x14ac:dyDescent="0.35">
      <c r="B49" s="24" t="s">
        <v>3049</v>
      </c>
    </row>
    <row r="50" spans="2:2" x14ac:dyDescent="0.35">
      <c r="B50" s="24"/>
    </row>
    <row r="51" spans="2:2" x14ac:dyDescent="0.35">
      <c r="B51" s="24" t="s">
        <v>3050</v>
      </c>
    </row>
    <row r="52" spans="2:2" x14ac:dyDescent="0.35">
      <c r="B52" s="24" t="s">
        <v>3051</v>
      </c>
    </row>
    <row r="55" spans="2:2" ht="16.5" x14ac:dyDescent="0.35">
      <c r="B55" s="7" t="s">
        <v>3052</v>
      </c>
    </row>
    <row r="56" spans="2:2" x14ac:dyDescent="0.35">
      <c r="B56" s="24" t="s">
        <v>3053</v>
      </c>
    </row>
    <row r="57" spans="2:2" x14ac:dyDescent="0.35">
      <c r="B57" s="24" t="s">
        <v>3054</v>
      </c>
    </row>
    <row r="58" spans="2:2" x14ac:dyDescent="0.35">
      <c r="B58" s="24" t="s">
        <v>3055</v>
      </c>
    </row>
    <row r="59" spans="2:2" x14ac:dyDescent="0.35">
      <c r="B59" s="24" t="s">
        <v>3056</v>
      </c>
    </row>
    <row r="60" spans="2:2" x14ac:dyDescent="0.35">
      <c r="B60" s="24" t="s">
        <v>3057</v>
      </c>
    </row>
    <row r="61" spans="2:2" x14ac:dyDescent="0.35">
      <c r="B61" s="24" t="s">
        <v>3058</v>
      </c>
    </row>
    <row r="62" spans="2:2" x14ac:dyDescent="0.35">
      <c r="B62" s="24" t="s">
        <v>3059</v>
      </c>
    </row>
    <row r="63" spans="2:2" x14ac:dyDescent="0.35">
      <c r="B63" s="24" t="s">
        <v>3060</v>
      </c>
    </row>
    <row r="64" spans="2:2" x14ac:dyDescent="0.35">
      <c r="B64" s="24"/>
    </row>
    <row r="65" spans="2:2" x14ac:dyDescent="0.35">
      <c r="B65" s="24" t="s">
        <v>3020</v>
      </c>
    </row>
    <row r="66" spans="2:2" x14ac:dyDescent="0.35">
      <c r="B66" s="24"/>
    </row>
    <row r="67" spans="2:2" x14ac:dyDescent="0.35">
      <c r="B67" s="24" t="s">
        <v>3061</v>
      </c>
    </row>
    <row r="68" spans="2:2" x14ac:dyDescent="0.35">
      <c r="B68" s="24" t="s">
        <v>3062</v>
      </c>
    </row>
    <row r="69" spans="2:2" x14ac:dyDescent="0.35">
      <c r="B69" s="24" t="s">
        <v>3063</v>
      </c>
    </row>
    <row r="70" spans="2:2" x14ac:dyDescent="0.35">
      <c r="B70" s="24" t="s">
        <v>3064</v>
      </c>
    </row>
    <row r="71" spans="2:2" x14ac:dyDescent="0.35">
      <c r="B71" s="24" t="s">
        <v>3065</v>
      </c>
    </row>
    <row r="72" spans="2:2" x14ac:dyDescent="0.35">
      <c r="B72" s="24" t="s">
        <v>3066</v>
      </c>
    </row>
    <row r="73" spans="2:2" x14ac:dyDescent="0.35">
      <c r="B73" s="24" t="s">
        <v>3067</v>
      </c>
    </row>
    <row r="74" spans="2:2" x14ac:dyDescent="0.35">
      <c r="B74" s="24" t="s">
        <v>3068</v>
      </c>
    </row>
    <row r="75" spans="2:2" x14ac:dyDescent="0.35">
      <c r="B75" s="24"/>
    </row>
    <row r="76" spans="2:2" x14ac:dyDescent="0.35">
      <c r="B76" s="24" t="s">
        <v>3069</v>
      </c>
    </row>
    <row r="77" spans="2:2" x14ac:dyDescent="0.35">
      <c r="B77" s="24" t="s">
        <v>3070</v>
      </c>
    </row>
    <row r="78" spans="2:2" x14ac:dyDescent="0.35">
      <c r="B78" s="24" t="s">
        <v>3071</v>
      </c>
    </row>
    <row r="79" spans="2:2" x14ac:dyDescent="0.35">
      <c r="B79" s="24" t="s">
        <v>3072</v>
      </c>
    </row>
    <row r="80" spans="2:2" x14ac:dyDescent="0.35">
      <c r="B80" s="24"/>
    </row>
    <row r="81" spans="2:2" x14ac:dyDescent="0.35">
      <c r="B81" s="24" t="s">
        <v>3073</v>
      </c>
    </row>
    <row r="82" spans="2:2" x14ac:dyDescent="0.35">
      <c r="B82" s="24"/>
    </row>
    <row r="83" spans="2:2" x14ac:dyDescent="0.35">
      <c r="B83" s="24" t="s">
        <v>3027</v>
      </c>
    </row>
    <row r="84" spans="2:2" x14ac:dyDescent="0.35">
      <c r="B84" s="24" t="s">
        <v>3074</v>
      </c>
    </row>
    <row r="85" spans="2:2" x14ac:dyDescent="0.35">
      <c r="B85" s="24" t="s">
        <v>3075</v>
      </c>
    </row>
    <row r="86" spans="2:2" x14ac:dyDescent="0.35">
      <c r="B86" s="24" t="s">
        <v>3076</v>
      </c>
    </row>
    <row r="87" spans="2:2" x14ac:dyDescent="0.35">
      <c r="B87" s="24" t="s">
        <v>3077</v>
      </c>
    </row>
    <row r="88" spans="2:2" x14ac:dyDescent="0.35">
      <c r="B88" s="24" t="s">
        <v>3078</v>
      </c>
    </row>
    <row r="89" spans="2:2" x14ac:dyDescent="0.35">
      <c r="B89" s="24" t="s">
        <v>3079</v>
      </c>
    </row>
    <row r="90" spans="2:2" x14ac:dyDescent="0.35">
      <c r="B90" s="24" t="s">
        <v>3080</v>
      </c>
    </row>
    <row r="91" spans="2:2" x14ac:dyDescent="0.35">
      <c r="B91" s="24" t="s">
        <v>3081</v>
      </c>
    </row>
    <row r="92" spans="2:2" x14ac:dyDescent="0.35">
      <c r="B92" s="24" t="s">
        <v>3082</v>
      </c>
    </row>
    <row r="93" spans="2:2" x14ac:dyDescent="0.35">
      <c r="B93" s="24" t="s">
        <v>3083</v>
      </c>
    </row>
    <row r="94" spans="2:2" x14ac:dyDescent="0.35">
      <c r="B94" s="24" t="s">
        <v>3049</v>
      </c>
    </row>
    <row r="95" spans="2:2" x14ac:dyDescent="0.35">
      <c r="B95" s="24"/>
    </row>
    <row r="96" spans="2:2" x14ac:dyDescent="0.35">
      <c r="B96" s="24" t="s">
        <v>3084</v>
      </c>
    </row>
    <row r="97" spans="2:2" x14ac:dyDescent="0.35">
      <c r="B97" s="24" t="s">
        <v>3085</v>
      </c>
    </row>
    <row r="98" spans="2:2" x14ac:dyDescent="0.35">
      <c r="B98" s="24"/>
    </row>
    <row r="99" spans="2:2" x14ac:dyDescent="0.35">
      <c r="B99" s="24" t="s">
        <v>3086</v>
      </c>
    </row>
    <row r="100" spans="2:2" x14ac:dyDescent="0.35">
      <c r="B100" s="24" t="s">
        <v>3087</v>
      </c>
    </row>
    <row r="101" spans="2:2" x14ac:dyDescent="0.35">
      <c r="B101" s="24" t="s">
        <v>3088</v>
      </c>
    </row>
    <row r="102" spans="2:2" x14ac:dyDescent="0.35">
      <c r="B102" s="24" t="s">
        <v>3089</v>
      </c>
    </row>
    <row r="103" spans="2:2" x14ac:dyDescent="0.35">
      <c r="B103" s="24" t="s">
        <v>3090</v>
      </c>
    </row>
    <row r="104" spans="2:2" x14ac:dyDescent="0.35">
      <c r="B104" s="24" t="s">
        <v>3091</v>
      </c>
    </row>
    <row r="105" spans="2:2" x14ac:dyDescent="0.35">
      <c r="B105" s="24" t="s">
        <v>3092</v>
      </c>
    </row>
    <row r="106" spans="2:2" x14ac:dyDescent="0.35">
      <c r="B106" s="24" t="s">
        <v>3093</v>
      </c>
    </row>
    <row r="107" spans="2:2" x14ac:dyDescent="0.35">
      <c r="B107" s="24" t="s">
        <v>3094</v>
      </c>
    </row>
    <row r="108" spans="2:2" x14ac:dyDescent="0.35">
      <c r="B108" s="24" t="s">
        <v>3095</v>
      </c>
    </row>
    <row r="109" spans="2:2" x14ac:dyDescent="0.35">
      <c r="B109" s="24"/>
    </row>
    <row r="110" spans="2:2" x14ac:dyDescent="0.35">
      <c r="B110" s="24" t="s">
        <v>3096</v>
      </c>
    </row>
    <row r="111" spans="2:2" x14ac:dyDescent="0.35">
      <c r="B111" s="24" t="s">
        <v>3097</v>
      </c>
    </row>
    <row r="112" spans="2:2" x14ac:dyDescent="0.35">
      <c r="B112" s="24" t="s">
        <v>3051</v>
      </c>
    </row>
    <row r="115" spans="2:2" ht="16.5" x14ac:dyDescent="0.35">
      <c r="B115" s="7" t="s">
        <v>3098</v>
      </c>
    </row>
    <row r="116" spans="2:2" x14ac:dyDescent="0.35">
      <c r="B116" s="24" t="s">
        <v>3099</v>
      </c>
    </row>
    <row r="117" spans="2:2" x14ac:dyDescent="0.35">
      <c r="B117" s="24" t="s">
        <v>3100</v>
      </c>
    </row>
    <row r="118" spans="2:2" x14ac:dyDescent="0.35">
      <c r="B118" s="24" t="s">
        <v>3101</v>
      </c>
    </row>
    <row r="119" spans="2:2" x14ac:dyDescent="0.35">
      <c r="B119" s="24" t="s">
        <v>3102</v>
      </c>
    </row>
    <row r="120" spans="2:2" x14ac:dyDescent="0.35">
      <c r="B120" s="24" t="s">
        <v>3103</v>
      </c>
    </row>
    <row r="121" spans="2:2" x14ac:dyDescent="0.35">
      <c r="B121" s="24" t="s">
        <v>3104</v>
      </c>
    </row>
    <row r="122" spans="2:2" x14ac:dyDescent="0.35">
      <c r="B122" s="24" t="s">
        <v>3105</v>
      </c>
    </row>
    <row r="123" spans="2:2" x14ac:dyDescent="0.35">
      <c r="B123" s="24" t="s">
        <v>3106</v>
      </c>
    </row>
    <row r="124" spans="2:2" x14ac:dyDescent="0.35">
      <c r="B124" s="24" t="s">
        <v>3051</v>
      </c>
    </row>
    <row r="125" spans="2:2" x14ac:dyDescent="0.35">
      <c r="B125" s="24"/>
    </row>
    <row r="126" spans="2:2" x14ac:dyDescent="0.35">
      <c r="B126" s="24" t="s">
        <v>3107</v>
      </c>
    </row>
    <row r="127" spans="2:2" x14ac:dyDescent="0.35">
      <c r="B127" s="24" t="s">
        <v>3108</v>
      </c>
    </row>
    <row r="128" spans="2:2" x14ac:dyDescent="0.35">
      <c r="B128" s="24" t="s">
        <v>3109</v>
      </c>
    </row>
    <row r="129" spans="2:2" x14ac:dyDescent="0.35">
      <c r="B129" s="24" t="s">
        <v>3110</v>
      </c>
    </row>
    <row r="130" spans="2:2" x14ac:dyDescent="0.35">
      <c r="B130" s="24" t="s">
        <v>3111</v>
      </c>
    </row>
    <row r="131" spans="2:2" x14ac:dyDescent="0.35">
      <c r="B131" s="24" t="s">
        <v>3112</v>
      </c>
    </row>
    <row r="132" spans="2:2" x14ac:dyDescent="0.35">
      <c r="B132" s="24"/>
    </row>
    <row r="133" spans="2:2" x14ac:dyDescent="0.35">
      <c r="B133" s="24" t="s">
        <v>3113</v>
      </c>
    </row>
    <row r="134" spans="2:2" x14ac:dyDescent="0.35">
      <c r="B134" s="24" t="s">
        <v>3114</v>
      </c>
    </row>
    <row r="135" spans="2:2" x14ac:dyDescent="0.35">
      <c r="B135" s="24" t="s">
        <v>3115</v>
      </c>
    </row>
    <row r="136" spans="2:2" x14ac:dyDescent="0.35">
      <c r="B136" s="24"/>
    </row>
    <row r="137" spans="2:2" x14ac:dyDescent="0.35">
      <c r="B137" s="24" t="s">
        <v>3116</v>
      </c>
    </row>
    <row r="138" spans="2:2" x14ac:dyDescent="0.35">
      <c r="B138" s="24" t="s">
        <v>3117</v>
      </c>
    </row>
    <row r="139" spans="2:2" x14ac:dyDescent="0.35">
      <c r="B139" s="24" t="s">
        <v>3118</v>
      </c>
    </row>
    <row r="140" spans="2:2" x14ac:dyDescent="0.35">
      <c r="B140" s="24" t="s">
        <v>3051</v>
      </c>
    </row>
    <row r="144" spans="2:2" ht="16.5" x14ac:dyDescent="0.35">
      <c r="B144" s="7" t="s">
        <v>3119</v>
      </c>
    </row>
    <row r="145" spans="2:8" ht="15" customHeight="1" x14ac:dyDescent="0.35">
      <c r="B145" s="26" t="s">
        <v>3120</v>
      </c>
      <c r="C145" s="26"/>
      <c r="D145" s="26"/>
      <c r="E145" s="26"/>
      <c r="F145" s="26"/>
      <c r="G145" s="26"/>
      <c r="H145" s="26"/>
    </row>
    <row r="146" spans="2:8" ht="15" customHeight="1" x14ac:dyDescent="0.35">
      <c r="B146" s="26" t="s">
        <v>3121</v>
      </c>
      <c r="C146" s="26"/>
      <c r="D146" s="26"/>
      <c r="E146" s="26"/>
      <c r="F146" s="26"/>
      <c r="G146" s="26"/>
      <c r="H146" s="26"/>
    </row>
    <row r="147" spans="2:8" ht="15" customHeight="1" x14ac:dyDescent="0.35">
      <c r="B147" s="26" t="s">
        <v>3122</v>
      </c>
      <c r="C147" s="26"/>
      <c r="D147" s="26"/>
      <c r="E147" s="26"/>
      <c r="F147" s="26"/>
      <c r="G147" s="26"/>
      <c r="H147" s="26"/>
    </row>
    <row r="148" spans="2:8" ht="15" customHeight="1" x14ac:dyDescent="0.35">
      <c r="B148" s="26" t="s">
        <v>3123</v>
      </c>
      <c r="C148" s="26"/>
      <c r="D148" s="26"/>
      <c r="E148" s="26"/>
      <c r="F148" s="26"/>
      <c r="G148" s="26"/>
      <c r="H148" s="26"/>
    </row>
    <row r="149" spans="2:8" ht="15" customHeight="1" x14ac:dyDescent="0.35">
      <c r="B149" s="26" t="s">
        <v>3124</v>
      </c>
      <c r="C149" s="26"/>
      <c r="D149" s="26"/>
      <c r="E149" s="26"/>
      <c r="F149" s="26"/>
      <c r="G149" s="26"/>
      <c r="H149" s="26"/>
    </row>
    <row r="150" spans="2:8" ht="15" customHeight="1" x14ac:dyDescent="0.35">
      <c r="B150" s="26" t="s">
        <v>3125</v>
      </c>
      <c r="C150" s="26"/>
      <c r="D150" s="26"/>
      <c r="E150" s="26"/>
      <c r="F150" s="26"/>
      <c r="G150" s="26"/>
      <c r="H150" s="26"/>
    </row>
    <row r="151" spans="2:8" ht="15" customHeight="1" x14ac:dyDescent="0.35">
      <c r="B151" s="26" t="s">
        <v>3126</v>
      </c>
      <c r="C151" s="26"/>
      <c r="D151" s="26"/>
      <c r="E151" s="26"/>
      <c r="F151" s="26"/>
      <c r="G151" s="26"/>
      <c r="H151" s="26"/>
    </row>
    <row r="152" spans="2:8" ht="15" customHeight="1" x14ac:dyDescent="0.35">
      <c r="B152" s="26" t="s">
        <v>3127</v>
      </c>
      <c r="C152" s="26"/>
      <c r="D152" s="26"/>
      <c r="E152" s="26"/>
      <c r="F152" s="26"/>
      <c r="G152" s="26"/>
      <c r="H152" s="26"/>
    </row>
    <row r="153" spans="2:8" ht="15" customHeight="1" x14ac:dyDescent="0.35">
      <c r="B153" s="26" t="s">
        <v>3128</v>
      </c>
      <c r="C153" s="26"/>
      <c r="D153" s="26"/>
      <c r="E153" s="26"/>
      <c r="F153" s="26"/>
      <c r="G153" s="26"/>
      <c r="H153" s="26"/>
    </row>
  </sheetData>
  <mergeCells count="9">
    <mergeCell ref="B150:H150"/>
    <mergeCell ref="B151:H151"/>
    <mergeCell ref="B152:H152"/>
    <mergeCell ref="B153:H153"/>
    <mergeCell ref="B145:H145"/>
    <mergeCell ref="B146:H146"/>
    <mergeCell ref="B147:H147"/>
    <mergeCell ref="B148:H148"/>
    <mergeCell ref="B149:H14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Raw_Data</vt:lpstr>
      <vt:lpstr>Multiplier_Lookup</vt:lpstr>
      <vt:lpstr>Cleaned_Data</vt:lpstr>
      <vt:lpstr>Lookup_Exercises</vt:lpstr>
      <vt:lpstr>Pivot_Summary</vt:lpstr>
      <vt:lpstr>What_If_Analysis</vt:lpstr>
      <vt:lpstr>Dashboard</vt:lpstr>
      <vt:lpstr>VBA_Macros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Yudi Indrajaya</cp:lastModifiedBy>
  <cp:revision>1</cp:revision>
  <dcterms:created xsi:type="dcterms:W3CDTF">2026-09-06T04:13:53Z</dcterms:created>
  <dcterms:modified xsi:type="dcterms:W3CDTF">2026-09-07T07:17:40Z</dcterms:modified>
  <dc:language>en-US</dc:language>
</cp:coreProperties>
</file>